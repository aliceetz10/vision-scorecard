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X:\EXTCLNT\PreStart\"/>
    </mc:Choice>
  </mc:AlternateContent>
  <xr:revisionPtr revIDLastSave="0" documentId="8_{2CC64D23-359E-4164-80C2-4D0FB073838F}" xr6:coauthVersionLast="47" xr6:coauthVersionMax="47" xr10:uidLastSave="{00000000-0000-0000-0000-000000000000}"/>
  <bookViews>
    <workbookView xWindow="-110" yWindow="-110" windowWidth="19420" windowHeight="10300" tabRatio="877" firstSheet="1" activeTab="1" xr2:uid="{00000000-000D-0000-FFFF-FFFF00000000}"/>
  </bookViews>
  <sheets>
    <sheet name="Titles" sheetId="20" state="hidden" r:id="rId1"/>
    <sheet name="Index" sheetId="21" r:id="rId2"/>
    <sheet name="Notes" sheetId="26" r:id="rId3"/>
    <sheet name="Table 1" sheetId="1" r:id="rId4"/>
    <sheet name="Table 2" sheetId="2" r:id="rId5"/>
    <sheet name="Table 3" sheetId="9" r:id="rId6"/>
    <sheet name="Table 4" sheetId="8" r:id="rId7"/>
    <sheet name="Table 5" sheetId="10" r:id="rId8"/>
    <sheet name="Table 6" sheetId="7" r:id="rId9"/>
    <sheet name="Table 7" sheetId="6" r:id="rId10"/>
    <sheet name="Table 8" sheetId="5" r:id="rId11"/>
    <sheet name="Table 9" sheetId="14" r:id="rId12"/>
    <sheet name="Table 10" sheetId="15" r:id="rId13"/>
    <sheet name="Table 11" sheetId="17" r:id="rId14"/>
    <sheet name="Table 12" sheetId="18" r:id="rId15"/>
    <sheet name="Table 13" sheetId="19" r:id="rId16"/>
    <sheet name="Table 14" sheetId="16" r:id="rId17"/>
    <sheet name="Table 15" sheetId="3" r:id="rId18"/>
    <sheet name="Table 16" sheetId="4" r:id="rId19"/>
    <sheet name="Tables 17-18" sheetId="11" r:id="rId20"/>
    <sheet name="Tables 19-20" sheetId="13" r:id="rId21"/>
    <sheet name="Symbols" sheetId="22" r:id="rId22"/>
    <sheet name="Coverage and Geography" sheetId="23" r:id="rId23"/>
    <sheet name="Concepts and Definitions" sheetId="24" r:id="rId24"/>
    <sheet name=" " sheetId="25" r:id="rId25"/>
  </sheets>
  <definedNames>
    <definedName name="_AMO_UniqueIdentifier" hidden="1">"'f50c48cb-d922-4671-8a80-6a36bd35b184'"</definedName>
    <definedName name="_xlnm.Print_Area" localSheetId="3">'Table 1'!$A$1:$K$69</definedName>
    <definedName name="_xlnm.Print_Area" localSheetId="12">'Table 10'!$A$1:$I$48</definedName>
    <definedName name="_xlnm.Print_Area" localSheetId="13">'Table 11'!$A$1:$H$49</definedName>
    <definedName name="_xlnm.Print_Area" localSheetId="14">'Table 12'!$A$1:$H$49</definedName>
    <definedName name="_xlnm.Print_Area" localSheetId="15">'Table 13'!$A$1:$H$49</definedName>
    <definedName name="_xlnm.Print_Area" localSheetId="16">'Table 14'!$A$1:$H$49</definedName>
    <definedName name="_xlnm.Print_Area" localSheetId="17">'Table 15'!$A$1:$F$44</definedName>
    <definedName name="_xlnm.Print_Area" localSheetId="18">'Table 16'!$A$1:$I$48</definedName>
    <definedName name="_xlnm.Print_Area" localSheetId="4">'Table 2'!$A$1:$K$67</definedName>
    <definedName name="_xlnm.Print_Area" localSheetId="5">'Table 3'!$A$1:$H$50</definedName>
    <definedName name="_xlnm.Print_Area" localSheetId="6">'Table 4'!$A$1:$J$47</definedName>
    <definedName name="_xlnm.Print_Area" localSheetId="7">'Table 5'!$A$1:$I$61</definedName>
    <definedName name="_xlnm.Print_Area" localSheetId="8">'Table 6'!$A$1:$H$62</definedName>
    <definedName name="_xlnm.Print_Area" localSheetId="9">'Table 7'!$A$1:$G$61</definedName>
    <definedName name="_xlnm.Print_Area" localSheetId="10">'Table 8'!$A$1:$H$49</definedName>
    <definedName name="_xlnm.Print_Area" localSheetId="11">'Table 9'!$A$1:$H$48</definedName>
    <definedName name="_xlnm.Print_Area" localSheetId="19">'Tables 17-18'!$A$1:$L$57</definedName>
    <definedName name="_xlnm.Print_Area" localSheetId="20">'Tables 19-20'!$A$1:$H$41</definedName>
    <definedName name="_xlnm.Print_Area">'Table 1'!$A$1:$L$69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3" i="13" l="1"/>
  <c r="G32" i="13"/>
  <c r="G31" i="13"/>
  <c r="G30" i="13"/>
  <c r="H13" i="13"/>
  <c r="H12" i="13"/>
  <c r="H11" i="13"/>
  <c r="H10" i="13"/>
  <c r="I45" i="11"/>
  <c r="I44" i="11"/>
  <c r="I43" i="11"/>
  <c r="I42" i="11"/>
  <c r="H16" i="9"/>
  <c r="H15" i="9"/>
  <c r="H14" i="9"/>
  <c r="H13" i="9"/>
  <c r="L26" i="11" l="1"/>
  <c r="L23" i="11"/>
  <c r="L20" i="11"/>
  <c r="L17" i="11"/>
  <c r="I7" i="2"/>
  <c r="F7" i="2"/>
  <c r="J7" i="2"/>
  <c r="G7" i="2"/>
  <c r="D7" i="2"/>
  <c r="J7" i="1"/>
  <c r="A67" i="1"/>
  <c r="I30" i="2"/>
  <c r="I52" i="2"/>
  <c r="I64" i="2"/>
  <c r="G7" i="1"/>
  <c r="D7" i="1"/>
  <c r="A18" i="9"/>
  <c r="A35" i="9"/>
  <c r="A6" i="3"/>
  <c r="A31" i="4"/>
  <c r="A15" i="4"/>
  <c r="A17" i="11"/>
  <c r="A11" i="4"/>
  <c r="A19" i="4"/>
  <c r="A13" i="9"/>
  <c r="A22" i="9"/>
  <c r="C7" i="2"/>
  <c r="F7" i="1"/>
  <c r="I7" i="1"/>
  <c r="C7" i="1"/>
  <c r="A2" i="1"/>
  <c r="A4" i="1"/>
  <c r="E10" i="1"/>
  <c r="H19" i="1"/>
  <c r="H37" i="2"/>
  <c r="E45" i="2"/>
  <c r="H45" i="2"/>
  <c r="E56" i="2"/>
  <c r="E51" i="1"/>
  <c r="H64" i="2"/>
  <c r="A68" i="1"/>
  <c r="A39" i="13"/>
  <c r="A38" i="13"/>
  <c r="A52" i="11"/>
  <c r="A46" i="4"/>
  <c r="A44" i="3"/>
  <c r="A44" i="16"/>
  <c r="A46" i="16"/>
  <c r="A46" i="19"/>
  <c r="A46" i="18"/>
  <c r="A46" i="17"/>
  <c r="A46" i="15"/>
  <c r="A46" i="14"/>
  <c r="A46" i="5"/>
  <c r="A59" i="6"/>
  <c r="A61" i="7"/>
  <c r="A59" i="10"/>
  <c r="A45" i="8"/>
  <c r="A49" i="9"/>
  <c r="A43" i="3"/>
  <c r="A44" i="19"/>
  <c r="A44" i="18"/>
  <c r="A44" i="17"/>
  <c r="A44" i="15"/>
  <c r="A44" i="14"/>
  <c r="A44" i="5"/>
  <c r="A57" i="6"/>
  <c r="A59" i="7"/>
  <c r="A57" i="10"/>
  <c r="A43" i="8"/>
  <c r="A47" i="9"/>
  <c r="A68" i="2"/>
  <c r="A67" i="2"/>
  <c r="A4" i="2"/>
  <c r="A2" i="2"/>
  <c r="E8" i="2"/>
  <c r="J58" i="1"/>
  <c r="E57" i="2" l="1"/>
  <c r="E43" i="2"/>
  <c r="J52" i="1"/>
  <c r="C46" i="2"/>
  <c r="I24" i="2"/>
  <c r="I63" i="2"/>
  <c r="I10" i="1"/>
  <c r="E31" i="1"/>
  <c r="E62" i="1"/>
  <c r="F31" i="8"/>
  <c r="H36" i="9"/>
  <c r="G32" i="8"/>
  <c r="F41" i="8"/>
  <c r="H35" i="9"/>
  <c r="H29" i="1"/>
  <c r="J38" i="8"/>
  <c r="E57" i="1"/>
  <c r="E54" i="1"/>
  <c r="I16" i="2"/>
  <c r="H43" i="1"/>
  <c r="I28" i="2"/>
  <c r="I19" i="1"/>
  <c r="H42" i="8"/>
  <c r="G22" i="8"/>
  <c r="I61" i="2"/>
  <c r="I30" i="8"/>
  <c r="E42" i="8"/>
  <c r="G22" i="6"/>
  <c r="G30" i="6"/>
  <c r="G34" i="6"/>
  <c r="G42" i="6"/>
  <c r="G46" i="6"/>
  <c r="G50" i="6"/>
  <c r="G38" i="6"/>
  <c r="H41" i="9"/>
  <c r="H45" i="9"/>
  <c r="H31" i="8"/>
  <c r="G40" i="8"/>
  <c r="I42" i="8"/>
  <c r="H55" i="7"/>
  <c r="G31" i="6"/>
  <c r="J10" i="8"/>
  <c r="H22" i="8"/>
  <c r="J24" i="8"/>
  <c r="I22" i="8"/>
  <c r="H30" i="8"/>
  <c r="I41" i="8"/>
  <c r="J17" i="8"/>
  <c r="I45" i="2"/>
  <c r="H15" i="1"/>
  <c r="I31" i="10"/>
  <c r="E55" i="1"/>
  <c r="J16" i="2"/>
  <c r="H10" i="1"/>
  <c r="G35" i="6"/>
  <c r="I62" i="2"/>
  <c r="J37" i="8"/>
  <c r="I40" i="8"/>
  <c r="H49" i="2"/>
  <c r="J41" i="2"/>
  <c r="H62" i="2"/>
  <c r="I48" i="2"/>
  <c r="E49" i="2"/>
  <c r="I59" i="2"/>
  <c r="E59" i="2"/>
  <c r="H33" i="2"/>
  <c r="E36" i="2"/>
  <c r="H43" i="2"/>
  <c r="H55" i="2"/>
  <c r="I55" i="2"/>
  <c r="I38" i="2"/>
  <c r="H63" i="2"/>
  <c r="H60" i="2"/>
  <c r="E39" i="2"/>
  <c r="I11" i="2"/>
  <c r="I27" i="1"/>
  <c r="H56" i="1"/>
  <c r="E58" i="1"/>
  <c r="I47" i="1"/>
  <c r="E44" i="1"/>
  <c r="E38" i="1"/>
  <c r="I40" i="1"/>
  <c r="H62" i="1"/>
  <c r="E64" i="1"/>
  <c r="I50" i="1"/>
  <c r="I55" i="1"/>
  <c r="H40" i="1"/>
  <c r="E61" i="1"/>
  <c r="E52" i="1"/>
  <c r="E33" i="1"/>
  <c r="I23" i="10"/>
  <c r="I53" i="10"/>
  <c r="H25" i="7"/>
  <c r="H31" i="7"/>
  <c r="H52" i="7"/>
  <c r="I14" i="8"/>
  <c r="J11" i="8"/>
  <c r="F30" i="8"/>
  <c r="H32" i="8"/>
  <c r="J29" i="8"/>
  <c r="G41" i="8"/>
  <c r="J19" i="8"/>
  <c r="G30" i="8"/>
  <c r="I32" i="8"/>
  <c r="H41" i="8"/>
  <c r="I35" i="10"/>
  <c r="H28" i="7"/>
  <c r="H46" i="7"/>
  <c r="G23" i="6"/>
  <c r="G27" i="6"/>
  <c r="G39" i="6"/>
  <c r="G43" i="6"/>
  <c r="G47" i="6"/>
  <c r="G51" i="6"/>
  <c r="G55" i="6"/>
  <c r="J27" i="8"/>
  <c r="E31" i="8"/>
  <c r="F42" i="8"/>
  <c r="I30" i="10"/>
  <c r="I42" i="10"/>
  <c r="I48" i="10"/>
  <c r="I54" i="10"/>
  <c r="H29" i="7"/>
  <c r="H35" i="7"/>
  <c r="H38" i="7"/>
  <c r="H41" i="7"/>
  <c r="H44" i="7"/>
  <c r="H50" i="7"/>
  <c r="G24" i="6"/>
  <c r="G32" i="6"/>
  <c r="G36" i="6"/>
  <c r="G40" i="6"/>
  <c r="G48" i="6"/>
  <c r="G52" i="6"/>
  <c r="G56" i="6"/>
  <c r="H37" i="9"/>
  <c r="J12" i="8"/>
  <c r="I21" i="8"/>
  <c r="J34" i="8"/>
  <c r="G42" i="8"/>
  <c r="L18" i="11"/>
  <c r="L21" i="11"/>
  <c r="L24" i="11"/>
  <c r="L27" i="11"/>
  <c r="H57" i="7"/>
  <c r="H56" i="7"/>
  <c r="G44" i="6"/>
  <c r="H39" i="9"/>
  <c r="H43" i="9"/>
  <c r="H21" i="8"/>
  <c r="J20" i="8"/>
  <c r="G31" i="8"/>
  <c r="F40" i="8"/>
  <c r="J39" i="8"/>
  <c r="I22" i="10"/>
  <c r="I34" i="10"/>
  <c r="I37" i="10"/>
  <c r="I43" i="10"/>
  <c r="I49" i="10"/>
  <c r="H24" i="7"/>
  <c r="H27" i="7"/>
  <c r="H51" i="7"/>
  <c r="G25" i="6"/>
  <c r="G29" i="6"/>
  <c r="G33" i="6"/>
  <c r="G37" i="6"/>
  <c r="G41" i="6"/>
  <c r="G49" i="6"/>
  <c r="E22" i="8"/>
  <c r="H40" i="8"/>
  <c r="J28" i="8"/>
  <c r="G21" i="6"/>
  <c r="H44" i="9"/>
  <c r="L19" i="11"/>
  <c r="L22" i="11"/>
  <c r="L28" i="11"/>
  <c r="H42" i="9"/>
  <c r="G12" i="1"/>
  <c r="E43" i="1"/>
  <c r="J8" i="1"/>
  <c r="J55" i="1"/>
  <c r="H52" i="2"/>
  <c r="H25" i="1"/>
  <c r="E29" i="2"/>
  <c r="E60" i="2"/>
  <c r="E61" i="2"/>
  <c r="H50" i="2"/>
  <c r="H17" i="1"/>
  <c r="H14" i="1"/>
  <c r="I61" i="1"/>
  <c r="E51" i="2"/>
  <c r="I32" i="2"/>
  <c r="E58" i="2"/>
  <c r="H32" i="2"/>
  <c r="J28" i="1"/>
  <c r="I40" i="2"/>
  <c r="E30" i="1"/>
  <c r="I38" i="1"/>
  <c r="E35" i="2"/>
  <c r="J10" i="2"/>
  <c r="H38" i="9"/>
  <c r="E63" i="2"/>
  <c r="E50" i="2"/>
  <c r="I35" i="1"/>
  <c r="E14" i="1"/>
  <c r="H59" i="2"/>
  <c r="H16" i="1"/>
  <c r="E38" i="2"/>
  <c r="E30" i="8"/>
  <c r="G46" i="1"/>
  <c r="G66" i="1" s="1"/>
  <c r="G75" i="1" s="1"/>
  <c r="E35" i="1"/>
  <c r="H26" i="1"/>
  <c r="F14" i="8"/>
  <c r="I42" i="2"/>
  <c r="I65" i="2"/>
  <c r="I53" i="2"/>
  <c r="I47" i="2"/>
  <c r="I54" i="2"/>
  <c r="I34" i="1"/>
  <c r="I26" i="1"/>
  <c r="H11" i="1"/>
  <c r="H8" i="1"/>
  <c r="H31" i="2"/>
  <c r="J64" i="1"/>
  <c r="J43" i="1"/>
  <c r="I33" i="1"/>
  <c r="J11" i="1"/>
  <c r="E29" i="1"/>
  <c r="I63" i="1"/>
  <c r="H24" i="2"/>
  <c r="E52" i="2"/>
  <c r="I58" i="1"/>
  <c r="K58" i="1" s="1"/>
  <c r="E40" i="2"/>
  <c r="E19" i="1"/>
  <c r="E15" i="1"/>
  <c r="H44" i="2"/>
  <c r="I50" i="2"/>
  <c r="E36" i="1"/>
  <c r="J51" i="1"/>
  <c r="I33" i="10"/>
  <c r="I37" i="1"/>
  <c r="I23" i="1"/>
  <c r="H10" i="2"/>
  <c r="J24" i="1"/>
  <c r="I37" i="2"/>
  <c r="I49" i="2"/>
  <c r="I35" i="2"/>
  <c r="I33" i="2"/>
  <c r="H42" i="2"/>
  <c r="H38" i="2"/>
  <c r="H34" i="2"/>
  <c r="I34" i="2"/>
  <c r="I57" i="2"/>
  <c r="E42" i="2"/>
  <c r="I41" i="2"/>
  <c r="F46" i="2"/>
  <c r="I46" i="2" s="1"/>
  <c r="E64" i="2"/>
  <c r="H54" i="2"/>
  <c r="H41" i="2"/>
  <c r="I39" i="2"/>
  <c r="I36" i="2"/>
  <c r="H39" i="2"/>
  <c r="I60" i="2"/>
  <c r="H65" i="2"/>
  <c r="I29" i="2"/>
  <c r="E55" i="2"/>
  <c r="H47" i="2"/>
  <c r="I56" i="2"/>
  <c r="J9" i="2"/>
  <c r="C18" i="2"/>
  <c r="H16" i="2"/>
  <c r="H34" i="1"/>
  <c r="H32" i="1"/>
  <c r="H24" i="1"/>
  <c r="J60" i="1"/>
  <c r="J57" i="1"/>
  <c r="H28" i="1"/>
  <c r="H23" i="1"/>
  <c r="J32" i="1"/>
  <c r="I60" i="1"/>
  <c r="H52" i="1"/>
  <c r="H42" i="1"/>
  <c r="H36" i="1"/>
  <c r="H30" i="1"/>
  <c r="I32" i="1"/>
  <c r="J30" i="1"/>
  <c r="E25" i="1"/>
  <c r="J38" i="1"/>
  <c r="H51" i="1"/>
  <c r="F46" i="1"/>
  <c r="F66" i="1" s="1"/>
  <c r="H44" i="1"/>
  <c r="H41" i="1"/>
  <c r="H27" i="1"/>
  <c r="H30" i="2"/>
  <c r="E34" i="1"/>
  <c r="I65" i="1"/>
  <c r="J34" i="1"/>
  <c r="E37" i="1"/>
  <c r="E45" i="1"/>
  <c r="E39" i="1"/>
  <c r="J45" i="1"/>
  <c r="I25" i="1"/>
  <c r="E59" i="1"/>
  <c r="E56" i="1"/>
  <c r="E53" i="1"/>
  <c r="I30" i="1"/>
  <c r="E32" i="1"/>
  <c r="E41" i="1"/>
  <c r="I28" i="1"/>
  <c r="I16" i="1"/>
  <c r="E11" i="1"/>
  <c r="I15" i="1"/>
  <c r="I13" i="1"/>
  <c r="C18" i="1"/>
  <c r="F18" i="1"/>
  <c r="J36" i="8"/>
  <c r="J42" i="8" s="1"/>
  <c r="H27" i="9"/>
  <c r="H36" i="7"/>
  <c r="I15" i="8"/>
  <c r="F21" i="8"/>
  <c r="H32" i="9"/>
  <c r="H29" i="9"/>
  <c r="H26" i="9"/>
  <c r="G21" i="8"/>
  <c r="I47" i="10"/>
  <c r="G26" i="6"/>
  <c r="G54" i="6"/>
  <c r="I26" i="10"/>
  <c r="I32" i="10"/>
  <c r="I44" i="10"/>
  <c r="I50" i="10"/>
  <c r="I56" i="10"/>
  <c r="H34" i="7"/>
  <c r="H43" i="7"/>
  <c r="H49" i="7"/>
  <c r="L25" i="11"/>
  <c r="G28" i="6"/>
  <c r="H33" i="9"/>
  <c r="I28" i="10"/>
  <c r="I40" i="10"/>
  <c r="I46" i="10"/>
  <c r="I55" i="10"/>
  <c r="H30" i="7"/>
  <c r="H42" i="7"/>
  <c r="H48" i="7"/>
  <c r="H54" i="7"/>
  <c r="G45" i="6"/>
  <c r="G53" i="6"/>
  <c r="H15" i="8"/>
  <c r="H33" i="7"/>
  <c r="H39" i="7"/>
  <c r="H45" i="7"/>
  <c r="H23" i="9"/>
  <c r="I29" i="10"/>
  <c r="I38" i="10"/>
  <c r="H37" i="7"/>
  <c r="E14" i="8"/>
  <c r="J18" i="8"/>
  <c r="I31" i="8"/>
  <c r="H46" i="9"/>
  <c r="H31" i="9"/>
  <c r="H28" i="9"/>
  <c r="H25" i="9"/>
  <c r="H22" i="9"/>
  <c r="G14" i="8"/>
  <c r="F22" i="8"/>
  <c r="J26" i="8"/>
  <c r="H30" i="9"/>
  <c r="H24" i="9"/>
  <c r="F15" i="8"/>
  <c r="H58" i="7"/>
  <c r="G15" i="8"/>
  <c r="I25" i="10"/>
  <c r="I52" i="10"/>
  <c r="H40" i="9"/>
  <c r="E15" i="8"/>
  <c r="I41" i="10"/>
  <c r="H40" i="7"/>
  <c r="I21" i="10"/>
  <c r="I24" i="10"/>
  <c r="I27" i="10"/>
  <c r="I36" i="10"/>
  <c r="I39" i="10"/>
  <c r="I45" i="10"/>
  <c r="I51" i="10"/>
  <c r="H23" i="7"/>
  <c r="H26" i="7"/>
  <c r="H32" i="7"/>
  <c r="H47" i="7"/>
  <c r="H53" i="7"/>
  <c r="H14" i="8"/>
  <c r="J13" i="8"/>
  <c r="F32" i="8"/>
  <c r="J35" i="8"/>
  <c r="J41" i="8" s="1"/>
  <c r="I19" i="2"/>
  <c r="I10" i="2"/>
  <c r="I43" i="1"/>
  <c r="H9" i="1"/>
  <c r="I41" i="1"/>
  <c r="H48" i="1"/>
  <c r="I31" i="2"/>
  <c r="J26" i="2"/>
  <c r="J16" i="1"/>
  <c r="I9" i="1"/>
  <c r="I29" i="1"/>
  <c r="H40" i="2"/>
  <c r="H17" i="2"/>
  <c r="H55" i="1"/>
  <c r="I52" i="1"/>
  <c r="K52" i="1" s="1"/>
  <c r="H49" i="1"/>
  <c r="H45" i="1"/>
  <c r="I11" i="1"/>
  <c r="E25" i="2"/>
  <c r="H61" i="1"/>
  <c r="H57" i="1"/>
  <c r="H8" i="2"/>
  <c r="H65" i="1"/>
  <c r="J33" i="2"/>
  <c r="H48" i="2"/>
  <c r="G46" i="2"/>
  <c r="H23" i="2"/>
  <c r="J43" i="2"/>
  <c r="G18" i="1"/>
  <c r="H27" i="2"/>
  <c r="F12" i="1"/>
  <c r="J25" i="1"/>
  <c r="E16" i="2"/>
  <c r="H19" i="2"/>
  <c r="J14" i="2"/>
  <c r="E50" i="1"/>
  <c r="E13" i="1"/>
  <c r="J28" i="2"/>
  <c r="E27" i="1"/>
  <c r="E17" i="1"/>
  <c r="H59" i="1"/>
  <c r="H53" i="1"/>
  <c r="E21" i="8"/>
  <c r="H15" i="2"/>
  <c r="J13" i="2"/>
  <c r="I25" i="2"/>
  <c r="J47" i="1"/>
  <c r="E28" i="1"/>
  <c r="I62" i="1"/>
  <c r="J59" i="2"/>
  <c r="E40" i="1"/>
  <c r="E19" i="2"/>
  <c r="J50" i="2"/>
  <c r="J34" i="2"/>
  <c r="E15" i="2"/>
  <c r="I27" i="2"/>
  <c r="J61" i="1"/>
  <c r="H58" i="1"/>
  <c r="I43" i="2"/>
  <c r="E10" i="2"/>
  <c r="I49" i="1"/>
  <c r="I42" i="1"/>
  <c r="C12" i="1"/>
  <c r="G18" i="2"/>
  <c r="H14" i="2"/>
  <c r="H9" i="2"/>
  <c r="E28" i="2"/>
  <c r="J54" i="2"/>
  <c r="E54" i="2"/>
  <c r="J47" i="2"/>
  <c r="E47" i="2"/>
  <c r="J40" i="1"/>
  <c r="H58" i="2"/>
  <c r="H33" i="1"/>
  <c r="H57" i="2"/>
  <c r="I17" i="1"/>
  <c r="I14" i="1"/>
  <c r="I24" i="1"/>
  <c r="E42" i="1"/>
  <c r="J64" i="2"/>
  <c r="K64" i="2" s="1"/>
  <c r="E49" i="1"/>
  <c r="H39" i="1"/>
  <c r="H51" i="2"/>
  <c r="E33" i="2"/>
  <c r="I8" i="1"/>
  <c r="D18" i="1"/>
  <c r="J15" i="1"/>
  <c r="J19" i="1"/>
  <c r="J45" i="2"/>
  <c r="J41" i="1"/>
  <c r="J48" i="1"/>
  <c r="H64" i="1"/>
  <c r="J25" i="8"/>
  <c r="I23" i="2"/>
  <c r="I13" i="2"/>
  <c r="E11" i="2"/>
  <c r="E14" i="2"/>
  <c r="I8" i="2"/>
  <c r="I57" i="1"/>
  <c r="I54" i="1"/>
  <c r="H35" i="1"/>
  <c r="I51" i="2"/>
  <c r="J39" i="1"/>
  <c r="J63" i="1"/>
  <c r="J8" i="2"/>
  <c r="J15" i="2"/>
  <c r="E63" i="1"/>
  <c r="H63" i="1"/>
  <c r="I48" i="1"/>
  <c r="J14" i="1"/>
  <c r="H60" i="1"/>
  <c r="J42" i="1"/>
  <c r="J37" i="2"/>
  <c r="I9" i="2"/>
  <c r="E26" i="2"/>
  <c r="I56" i="1"/>
  <c r="J53" i="1"/>
  <c r="J49" i="1"/>
  <c r="E32" i="8"/>
  <c r="E8" i="1"/>
  <c r="J54" i="1"/>
  <c r="E60" i="1"/>
  <c r="E17" i="2"/>
  <c r="J19" i="2"/>
  <c r="H11" i="2"/>
  <c r="H26" i="2"/>
  <c r="E65" i="1"/>
  <c r="J62" i="1"/>
  <c r="J59" i="1"/>
  <c r="H50" i="1"/>
  <c r="H47" i="1"/>
  <c r="H31" i="1"/>
  <c r="J31" i="1"/>
  <c r="I58" i="2"/>
  <c r="I44" i="2"/>
  <c r="J27" i="2"/>
  <c r="E41" i="2"/>
  <c r="J60" i="2"/>
  <c r="I44" i="1"/>
  <c r="D18" i="2"/>
  <c r="G12" i="2"/>
  <c r="D12" i="1"/>
  <c r="J44" i="2"/>
  <c r="J36" i="1"/>
  <c r="E41" i="8"/>
  <c r="E40" i="8"/>
  <c r="I45" i="1"/>
  <c r="E47" i="1"/>
  <c r="E26" i="1"/>
  <c r="J29" i="1"/>
  <c r="E31" i="2"/>
  <c r="J44" i="1"/>
  <c r="J29" i="2"/>
  <c r="H29" i="2"/>
  <c r="J35" i="2"/>
  <c r="K35" i="2" s="1"/>
  <c r="H35" i="2"/>
  <c r="H36" i="2"/>
  <c r="J36" i="2"/>
  <c r="J24" i="2"/>
  <c r="E24" i="2"/>
  <c r="J56" i="2"/>
  <c r="H56" i="2"/>
  <c r="J30" i="2"/>
  <c r="K30" i="2" s="1"/>
  <c r="E30" i="2"/>
  <c r="J23" i="2"/>
  <c r="J31" i="2"/>
  <c r="F12" i="2"/>
  <c r="J55" i="2"/>
  <c r="J39" i="2"/>
  <c r="J23" i="1"/>
  <c r="E13" i="2"/>
  <c r="J49" i="2"/>
  <c r="J38" i="2"/>
  <c r="J42" i="2"/>
  <c r="E53" i="2"/>
  <c r="E34" i="2"/>
  <c r="E23" i="2"/>
  <c r="C12" i="2"/>
  <c r="I14" i="2"/>
  <c r="J11" i="2"/>
  <c r="I17" i="2"/>
  <c r="J10" i="1"/>
  <c r="K10" i="1" s="1"/>
  <c r="J56" i="1"/>
  <c r="J65" i="1"/>
  <c r="J35" i="1"/>
  <c r="E23" i="1"/>
  <c r="I31" i="1"/>
  <c r="C66" i="2"/>
  <c r="I39" i="1"/>
  <c r="H13" i="1"/>
  <c r="I53" i="1"/>
  <c r="E9" i="2"/>
  <c r="E9" i="1"/>
  <c r="D46" i="1"/>
  <c r="H38" i="1"/>
  <c r="H37" i="1"/>
  <c r="E44" i="2"/>
  <c r="I59" i="1"/>
  <c r="C46" i="1"/>
  <c r="E37" i="2"/>
  <c r="I36" i="1"/>
  <c r="J17" i="1"/>
  <c r="J50" i="1"/>
  <c r="J37" i="1"/>
  <c r="E48" i="1"/>
  <c r="J63" i="2"/>
  <c r="K63" i="2" s="1"/>
  <c r="J26" i="1"/>
  <c r="I64" i="1"/>
  <c r="I51" i="1"/>
  <c r="J9" i="1"/>
  <c r="E16" i="1"/>
  <c r="I26" i="2"/>
  <c r="E24" i="1"/>
  <c r="H54" i="1"/>
  <c r="H53" i="2"/>
  <c r="J13" i="1"/>
  <c r="F18" i="2"/>
  <c r="J17" i="2"/>
  <c r="E27" i="2"/>
  <c r="I15" i="2"/>
  <c r="H13" i="2"/>
  <c r="J27" i="1"/>
  <c r="J33" i="1"/>
  <c r="D12" i="2"/>
  <c r="K24" i="2" l="1"/>
  <c r="K10" i="2"/>
  <c r="K40" i="1"/>
  <c r="K27" i="1"/>
  <c r="K47" i="1"/>
  <c r="K16" i="2"/>
  <c r="J31" i="8"/>
  <c r="K8" i="1"/>
  <c r="K49" i="2"/>
  <c r="I18" i="1"/>
  <c r="J30" i="8"/>
  <c r="J22" i="8"/>
  <c r="K51" i="1"/>
  <c r="K28" i="2"/>
  <c r="K35" i="1"/>
  <c r="K61" i="1"/>
  <c r="K41" i="2"/>
  <c r="K11" i="2"/>
  <c r="K45" i="2"/>
  <c r="K33" i="1"/>
  <c r="K19" i="1"/>
  <c r="J40" i="8"/>
  <c r="K47" i="2"/>
  <c r="E12" i="1"/>
  <c r="K55" i="1"/>
  <c r="K36" i="2"/>
  <c r="K59" i="2"/>
  <c r="K55" i="2"/>
  <c r="K38" i="2"/>
  <c r="J61" i="2"/>
  <c r="K61" i="2" s="1"/>
  <c r="K28" i="1"/>
  <c r="K56" i="1"/>
  <c r="K50" i="2"/>
  <c r="K60" i="1"/>
  <c r="K41" i="1"/>
  <c r="K50" i="1"/>
  <c r="K11" i="1"/>
  <c r="I12" i="1"/>
  <c r="J21" i="8"/>
  <c r="J32" i="8"/>
  <c r="J46" i="1"/>
  <c r="K43" i="1"/>
  <c r="K23" i="1"/>
  <c r="K33" i="2"/>
  <c r="H12" i="1"/>
  <c r="H46" i="1"/>
  <c r="K32" i="1"/>
  <c r="K64" i="1"/>
  <c r="G20" i="1"/>
  <c r="K38" i="1"/>
  <c r="K53" i="1"/>
  <c r="K34" i="1"/>
  <c r="K54" i="2"/>
  <c r="E18" i="1"/>
  <c r="K34" i="2"/>
  <c r="J52" i="2"/>
  <c r="K52" i="2" s="1"/>
  <c r="K37" i="2"/>
  <c r="K24" i="1"/>
  <c r="K48" i="1"/>
  <c r="K26" i="1"/>
  <c r="K42" i="2"/>
  <c r="C20" i="1"/>
  <c r="K30" i="1"/>
  <c r="K57" i="1"/>
  <c r="K65" i="1"/>
  <c r="K15" i="1"/>
  <c r="K13" i="1"/>
  <c r="K37" i="1"/>
  <c r="K63" i="1"/>
  <c r="K16" i="1"/>
  <c r="K31" i="2"/>
  <c r="H46" i="2"/>
  <c r="K29" i="2"/>
  <c r="J40" i="2"/>
  <c r="K40" i="2" s="1"/>
  <c r="F66" i="2"/>
  <c r="I66" i="2" s="1"/>
  <c r="J51" i="2"/>
  <c r="K51" i="2" s="1"/>
  <c r="K56" i="2"/>
  <c r="K60" i="2"/>
  <c r="K39" i="2"/>
  <c r="K27" i="2"/>
  <c r="K43" i="2"/>
  <c r="K9" i="2"/>
  <c r="H18" i="2"/>
  <c r="G20" i="2"/>
  <c r="J18" i="2"/>
  <c r="K15" i="2"/>
  <c r="K13" i="2"/>
  <c r="K14" i="2"/>
  <c r="K19" i="2"/>
  <c r="K42" i="1"/>
  <c r="K29" i="1"/>
  <c r="H28" i="2"/>
  <c r="K45" i="1"/>
  <c r="K25" i="1"/>
  <c r="F20" i="1"/>
  <c r="H18" i="1"/>
  <c r="J15" i="8"/>
  <c r="J14" i="8"/>
  <c r="K49" i="1"/>
  <c r="K26" i="2"/>
  <c r="H61" i="2"/>
  <c r="K44" i="2"/>
  <c r="K9" i="1"/>
  <c r="E18" i="2"/>
  <c r="J58" i="2"/>
  <c r="K58" i="2" s="1"/>
  <c r="J18" i="1"/>
  <c r="K18" i="1" s="1"/>
  <c r="D20" i="1"/>
  <c r="J12" i="1"/>
  <c r="K17" i="1"/>
  <c r="K17" i="2"/>
  <c r="K36" i="1"/>
  <c r="K62" i="1"/>
  <c r="K8" i="2"/>
  <c r="K59" i="1"/>
  <c r="K31" i="1"/>
  <c r="J57" i="2"/>
  <c r="K57" i="2" s="1"/>
  <c r="J53" i="2"/>
  <c r="K53" i="2" s="1"/>
  <c r="K14" i="1"/>
  <c r="K44" i="1"/>
  <c r="K54" i="1"/>
  <c r="H66" i="1"/>
  <c r="K39" i="1"/>
  <c r="K23" i="2"/>
  <c r="E46" i="1"/>
  <c r="I46" i="1"/>
  <c r="K46" i="1" s="1"/>
  <c r="I18" i="2"/>
  <c r="C20" i="2"/>
  <c r="E12" i="2"/>
  <c r="I12" i="2"/>
  <c r="J12" i="2"/>
  <c r="D20" i="2"/>
  <c r="J20" i="2" s="1"/>
  <c r="C66" i="1"/>
  <c r="G66" i="2"/>
  <c r="J25" i="2"/>
  <c r="K25" i="2" s="1"/>
  <c r="E48" i="2"/>
  <c r="D46" i="2"/>
  <c r="J48" i="2"/>
  <c r="K48" i="2" s="1"/>
  <c r="F20" i="2"/>
  <c r="H12" i="2"/>
  <c r="H25" i="2"/>
  <c r="D66" i="1"/>
  <c r="E32" i="2"/>
  <c r="J32" i="2"/>
  <c r="K32" i="2" s="1"/>
  <c r="E62" i="2"/>
  <c r="J62" i="2"/>
  <c r="K62" i="2" s="1"/>
  <c r="J65" i="2"/>
  <c r="K65" i="2" s="1"/>
  <c r="E65" i="2"/>
  <c r="K12" i="1" l="1"/>
  <c r="H66" i="2"/>
  <c r="I20" i="1"/>
  <c r="J20" i="1"/>
  <c r="H20" i="1"/>
  <c r="K18" i="2"/>
  <c r="H20" i="2"/>
  <c r="E20" i="1"/>
  <c r="J66" i="1"/>
  <c r="J75" i="1" s="1"/>
  <c r="D75" i="1"/>
  <c r="I66" i="1"/>
  <c r="E66" i="1"/>
  <c r="K12" i="2"/>
  <c r="E46" i="2"/>
  <c r="J46" i="2"/>
  <c r="K46" i="2" s="1"/>
  <c r="D66" i="2"/>
  <c r="I20" i="2"/>
  <c r="K20" i="2" s="1"/>
  <c r="E20" i="2"/>
  <c r="K20" i="1" l="1"/>
  <c r="K66" i="1"/>
  <c r="J66" i="2"/>
  <c r="K66" i="2" s="1"/>
  <c r="E66" i="2"/>
</calcChain>
</file>

<file path=xl/sharedStrings.xml><?xml version="1.0" encoding="utf-8"?>
<sst xmlns="http://schemas.openxmlformats.org/spreadsheetml/2006/main" count="1776" uniqueCount="280">
  <si>
    <t>Province</t>
  </si>
  <si>
    <t xml:space="preserve">P.E.I.    </t>
  </si>
  <si>
    <t xml:space="preserve">N.S.    </t>
  </si>
  <si>
    <t xml:space="preserve">N.B.    </t>
  </si>
  <si>
    <t>Atlantic</t>
  </si>
  <si>
    <t xml:space="preserve">Que.   </t>
  </si>
  <si>
    <t xml:space="preserve">Ont.    </t>
  </si>
  <si>
    <t xml:space="preserve">Man.    </t>
  </si>
  <si>
    <t xml:space="preserve">Sask.    </t>
  </si>
  <si>
    <t xml:space="preserve">Alta.    </t>
  </si>
  <si>
    <t>Prairies</t>
  </si>
  <si>
    <t xml:space="preserve">B.C.    </t>
  </si>
  <si>
    <t>Canada</t>
  </si>
  <si>
    <t>Metropolitan Areas</t>
  </si>
  <si>
    <t>Barrie</t>
  </si>
  <si>
    <t>Brantford</t>
  </si>
  <si>
    <t>Calgary</t>
  </si>
  <si>
    <t>Edmonton</t>
  </si>
  <si>
    <t>Guelph</t>
  </si>
  <si>
    <t>Halifax</t>
  </si>
  <si>
    <t>Hamilton</t>
  </si>
  <si>
    <t>Kelowna</t>
  </si>
  <si>
    <t>Kingston</t>
  </si>
  <si>
    <t>London</t>
  </si>
  <si>
    <t>Moncton</t>
  </si>
  <si>
    <t>Montréal</t>
  </si>
  <si>
    <t>Oshawa</t>
  </si>
  <si>
    <t>Ottawa-Gatineau</t>
  </si>
  <si>
    <t xml:space="preserve">  Gatineau</t>
  </si>
  <si>
    <t xml:space="preserve">  Ottawa</t>
  </si>
  <si>
    <t>Peterborough</t>
  </si>
  <si>
    <t>Québec</t>
  </si>
  <si>
    <t>Regina</t>
  </si>
  <si>
    <t>Saguenay</t>
  </si>
  <si>
    <t>Saint John</t>
  </si>
  <si>
    <t>Saskatoon</t>
  </si>
  <si>
    <t>Sherbrooke</t>
  </si>
  <si>
    <t>Thunder Bay</t>
  </si>
  <si>
    <t>Toronto</t>
  </si>
  <si>
    <t>Trois-Rivières</t>
  </si>
  <si>
    <t>Vancouver</t>
  </si>
  <si>
    <t>Victoria</t>
  </si>
  <si>
    <t>Windsor</t>
  </si>
  <si>
    <t>Winnipeg</t>
  </si>
  <si>
    <t>Total</t>
  </si>
  <si>
    <t>CMA total -new CMA's</t>
  </si>
  <si>
    <t xml:space="preserve">  %</t>
  </si>
  <si>
    <t>All Others</t>
  </si>
  <si>
    <t xml:space="preserve">Single-Detached </t>
  </si>
  <si>
    <t xml:space="preserve">Dwelling Starts in Urban Centres and Canada, Seasonally Adjusted at Annual Rates </t>
  </si>
  <si>
    <t/>
  </si>
  <si>
    <t>Single-</t>
  </si>
  <si>
    <t>Other</t>
  </si>
  <si>
    <t>Detached</t>
  </si>
  <si>
    <t>All</t>
  </si>
  <si>
    <t>Areas</t>
  </si>
  <si>
    <t>Others</t>
  </si>
  <si>
    <t>1st Q.</t>
  </si>
  <si>
    <t>2nd Q.</t>
  </si>
  <si>
    <t>3rd Q.</t>
  </si>
  <si>
    <t>4th Q.</t>
  </si>
  <si>
    <t>January</t>
  </si>
  <si>
    <t>February</t>
  </si>
  <si>
    <t>March</t>
  </si>
  <si>
    <t>April</t>
  </si>
  <si>
    <t>May</t>
  </si>
  <si>
    <t>June</t>
  </si>
  <si>
    <t>July</t>
  </si>
  <si>
    <t>August</t>
  </si>
  <si>
    <t>September</t>
  </si>
  <si>
    <t>October</t>
  </si>
  <si>
    <t>November</t>
  </si>
  <si>
    <t>December</t>
  </si>
  <si>
    <t>B. C.</t>
  </si>
  <si>
    <t>Ontario</t>
  </si>
  <si>
    <t>Single-Detached</t>
  </si>
  <si>
    <t>Newfoundland</t>
  </si>
  <si>
    <t>Nova Scotia</t>
  </si>
  <si>
    <t>New Brunswick</t>
  </si>
  <si>
    <t>Island</t>
  </si>
  <si>
    <t>Prince Edward</t>
  </si>
  <si>
    <t>Manitoba</t>
  </si>
  <si>
    <t>Saskatchewan</t>
  </si>
  <si>
    <t>Alberta</t>
  </si>
  <si>
    <t>Row, Apartment and Other Dwellings</t>
  </si>
  <si>
    <t>Completed</t>
  </si>
  <si>
    <t>% Absorbed at</t>
  </si>
  <si>
    <t>and</t>
  </si>
  <si>
    <t>Under</t>
  </si>
  <si>
    <t>Completion</t>
  </si>
  <si>
    <t>Unabsorbed</t>
  </si>
  <si>
    <t xml:space="preserve">Single-Detached and </t>
  </si>
  <si>
    <t>Dwelling Starts in Urban Centres and Canada, Seasonally Adjusted at Annual Rates</t>
  </si>
  <si>
    <t>Period</t>
  </si>
  <si>
    <r>
      <t>Centres 10,000 Population and Over</t>
    </r>
    <r>
      <rPr>
        <b/>
        <vertAlign val="superscript"/>
        <sz val="9"/>
        <color indexed="8"/>
        <rFont val="Gill Sans Std"/>
        <family val="2"/>
      </rPr>
      <t>1</t>
    </r>
  </si>
  <si>
    <t>Other Areas</t>
  </si>
  <si>
    <t xml:space="preserve">Centres 10,000 Population </t>
  </si>
  <si>
    <r>
      <t>and Over</t>
    </r>
    <r>
      <rPr>
        <b/>
        <vertAlign val="superscript"/>
        <sz val="9"/>
        <color indexed="8"/>
        <rFont val="Gill Sans Std"/>
        <family val="2"/>
      </rPr>
      <t>1</t>
    </r>
  </si>
  <si>
    <t>B.C.</t>
  </si>
  <si>
    <t>Seasonally Adjusted at Annual Rates</t>
  </si>
  <si>
    <t>St. Catharines-Niagara</t>
  </si>
  <si>
    <t>St. John's</t>
  </si>
  <si>
    <t>Greater/Grand Sudbury</t>
  </si>
  <si>
    <t>Kitchener-Cambridge-Waterloo</t>
  </si>
  <si>
    <t>Abbotsford-Mission</t>
  </si>
  <si>
    <t xml:space="preserve"> </t>
  </si>
  <si>
    <t>Gatineau</t>
  </si>
  <si>
    <t>Ottawa</t>
  </si>
  <si>
    <t>St Catharines-Niagara</t>
  </si>
  <si>
    <t xml:space="preserve">Absorption of Homeowner and Condominium Units by Dwelling Type, </t>
  </si>
  <si>
    <r>
      <t>Construction</t>
    </r>
    <r>
      <rPr>
        <b/>
        <vertAlign val="superscript"/>
        <sz val="8"/>
        <color indexed="8"/>
        <rFont val="Gill Sans Std"/>
        <family val="2"/>
      </rPr>
      <t>2</t>
    </r>
  </si>
  <si>
    <t xml:space="preserve"> Source:  Market Analysis Centre, CMHC</t>
  </si>
  <si>
    <t xml:space="preserve">% Absorbed </t>
  </si>
  <si>
    <t>at Completion</t>
  </si>
  <si>
    <r>
      <t xml:space="preserve">2 </t>
    </r>
    <r>
      <rPr>
        <sz val="7"/>
        <color indexed="8"/>
        <rFont val="Gill Sans Std"/>
        <family val="2"/>
      </rPr>
      <t>Data are Actual Dwelling Starts.</t>
    </r>
  </si>
  <si>
    <t>Lethbridge</t>
  </si>
  <si>
    <t>Données provisoires sur les mises en chantier d'habitations</t>
  </si>
  <si>
    <t>2 Data are Actual Dwelling Starts.</t>
  </si>
  <si>
    <t xml:space="preserve"> 2 Under Construction does not include units where the intended market is unknown. </t>
  </si>
  <si>
    <t xml:space="preserve">Footnotes </t>
  </si>
  <si>
    <t>Housing Start Data in Centres 10,000 Population and Over</t>
  </si>
  <si>
    <t xml:space="preserve">Table 1 </t>
  </si>
  <si>
    <t>Table 2</t>
  </si>
  <si>
    <t xml:space="preserve">Table 4 </t>
  </si>
  <si>
    <t xml:space="preserve">Table 5 </t>
  </si>
  <si>
    <t>Table 6</t>
  </si>
  <si>
    <t>Table 7</t>
  </si>
  <si>
    <t>Table 8</t>
  </si>
  <si>
    <t>Table 10</t>
  </si>
  <si>
    <t>Table 11</t>
  </si>
  <si>
    <t>Table 12</t>
  </si>
  <si>
    <t>Table 13</t>
  </si>
  <si>
    <t>Table 14</t>
  </si>
  <si>
    <t xml:space="preserve">Table 15 </t>
  </si>
  <si>
    <t xml:space="preserve">Table 16 </t>
  </si>
  <si>
    <t>Table 19</t>
  </si>
  <si>
    <t>Table 17</t>
  </si>
  <si>
    <t>Table 20</t>
  </si>
  <si>
    <t xml:space="preserve">Table 3 </t>
  </si>
  <si>
    <r>
      <t>Dwelling Starts in Urban Centres</t>
    </r>
    <r>
      <rPr>
        <b/>
        <vertAlign val="superscript"/>
        <sz val="11"/>
        <rFont val="Gill Sans Std"/>
        <family val="2"/>
      </rPr>
      <t>1</t>
    </r>
    <r>
      <rPr>
        <b/>
        <sz val="11"/>
        <rFont val="Gill Sans Std"/>
        <family val="2"/>
      </rPr>
      <t xml:space="preserve">, by Region, Seasonally Adjusted at Annual Rates </t>
    </r>
  </si>
  <si>
    <r>
      <t>Dwelling Starts in Urban Centres</t>
    </r>
    <r>
      <rPr>
        <b/>
        <vertAlign val="superscript"/>
        <sz val="11"/>
        <rFont val="Gill Sans Std"/>
        <family val="2"/>
      </rPr>
      <t>1</t>
    </r>
    <r>
      <rPr>
        <b/>
        <sz val="11"/>
        <rFont val="Gill Sans Std"/>
        <family val="2"/>
      </rPr>
      <t xml:space="preserve">,  by Region, Seasonally Adjusted at Annual Rates </t>
    </r>
  </si>
  <si>
    <r>
      <t>Dwelling Starts in Urban Centres</t>
    </r>
    <r>
      <rPr>
        <b/>
        <vertAlign val="superscript"/>
        <sz val="11"/>
        <rFont val="Gill Sans Std"/>
        <family val="2"/>
      </rPr>
      <t>1</t>
    </r>
    <r>
      <rPr>
        <b/>
        <sz val="11"/>
        <rFont val="Gill Sans Std"/>
        <family val="2"/>
      </rPr>
      <t xml:space="preserve">, Atlantic Provinces, Seasonally Adjusted at Annual Rates </t>
    </r>
  </si>
  <si>
    <r>
      <t>Dwelling Starts in Urban Centres</t>
    </r>
    <r>
      <rPr>
        <b/>
        <vertAlign val="superscript"/>
        <sz val="11"/>
        <rFont val="Gill Sans Std"/>
        <family val="2"/>
      </rPr>
      <t>1</t>
    </r>
    <r>
      <rPr>
        <b/>
        <sz val="11"/>
        <rFont val="Gill Sans Std"/>
        <family val="2"/>
      </rPr>
      <t>, Prairie Provinces, Seasonally Adjusted at Annual Rates</t>
    </r>
  </si>
  <si>
    <r>
      <t>Dwelling Starts - Seasonally Adjusted at Annual Rates</t>
    </r>
    <r>
      <rPr>
        <b/>
        <vertAlign val="superscript"/>
        <sz val="11"/>
        <rFont val="Gill Sans Std"/>
        <family val="2"/>
      </rPr>
      <t>1</t>
    </r>
  </si>
  <si>
    <r>
      <t>Dwelling Starts in Canada</t>
    </r>
    <r>
      <rPr>
        <b/>
        <vertAlign val="superscript"/>
        <sz val="11"/>
        <rFont val="Gill Sans Std"/>
        <family val="2"/>
      </rPr>
      <t>1</t>
    </r>
    <r>
      <rPr>
        <b/>
        <sz val="11"/>
        <rFont val="Gill Sans Std"/>
        <family val="2"/>
      </rPr>
      <t>, Atlantic Provinces, Seasonally Adjusted at Annual Rates</t>
    </r>
  </si>
  <si>
    <r>
      <t>Dwelling Starts in Canada</t>
    </r>
    <r>
      <rPr>
        <b/>
        <vertAlign val="superscript"/>
        <sz val="11"/>
        <rFont val="Gill Sans Std"/>
        <family val="2"/>
      </rPr>
      <t>1</t>
    </r>
    <r>
      <rPr>
        <b/>
        <sz val="11"/>
        <rFont val="Gill Sans Std"/>
        <family val="2"/>
      </rPr>
      <t xml:space="preserve">, Prairie Provinces, </t>
    </r>
  </si>
  <si>
    <r>
      <t>Dwelling Starts in Canada</t>
    </r>
    <r>
      <rPr>
        <b/>
        <vertAlign val="superscript"/>
        <sz val="11"/>
        <rFont val="Gill Sans Std"/>
        <family val="2"/>
      </rPr>
      <t>1</t>
    </r>
    <r>
      <rPr>
        <b/>
        <sz val="11"/>
        <rFont val="Gill Sans Std"/>
        <family val="2"/>
      </rPr>
      <t xml:space="preserve">, by Region, </t>
    </r>
  </si>
  <si>
    <t>CMHC HOUSING MARKET INFORMATION</t>
  </si>
  <si>
    <t>TABLE OF CONTENTS</t>
  </si>
  <si>
    <t>The table of contents below provides a brief description of the contents in each tab.</t>
  </si>
  <si>
    <t xml:space="preserve">Symbols  </t>
  </si>
  <si>
    <t xml:space="preserve">Concepts and Definitions </t>
  </si>
  <si>
    <t>Monthly Housing Starts and Other Construction Data</t>
  </si>
  <si>
    <t>Table 1: Housing Start Data in Centres 10,000 Population and Over</t>
  </si>
  <si>
    <t>Table 2: Housing Start Data in Centres 10,000 Population and Over (Cumulative)</t>
  </si>
  <si>
    <t xml:space="preserve">Table 3: Dwelling Starts in Urban Centres and Canada, Seasonally Adjusted at Annual Rates </t>
  </si>
  <si>
    <t xml:space="preserve">Table 4: Dwelling Starts in Urban Centres, by Region, Seasonally Adjusted at Annual Rates </t>
  </si>
  <si>
    <t xml:space="preserve">Table 5: Dwelling Starts in Urban Centres,  by Region, Seasonally Adjusted at Annual Rates </t>
  </si>
  <si>
    <t xml:space="preserve">Table 6: Dwelling Starts in Urban Centres, Atlantic Provinces, Seasonally Adjusted at Annual Rates </t>
  </si>
  <si>
    <t>Table 7: Dwelling Starts in Urban Centres, Prairie Provinces, Seasonally Adjusted at Annual Rates</t>
  </si>
  <si>
    <t>Table 8 to Table 15: Dwelling Starts - Seasonally Adjusted at Annual Rates</t>
  </si>
  <si>
    <t>Table 17-18: Dwelling Starts in Urban Centres and Canada, Seasonally Adjusted at Annual Rates</t>
  </si>
  <si>
    <t>(r) Revised / Chiffres révisés</t>
  </si>
  <si>
    <t>Symbols</t>
  </si>
  <si>
    <t>** Not available</t>
  </si>
  <si>
    <t>+ Less than 1,000 units</t>
  </si>
  <si>
    <t>- Nil or Zero</t>
  </si>
  <si>
    <t>-- Amount too small to be expressed</t>
  </si>
  <si>
    <t xml:space="preserve">Survey Coverage </t>
  </si>
  <si>
    <t>Concepts and Definitions</t>
  </si>
  <si>
    <t>For multiple-dwelling structures, the definition of a Start or a Completion applies to the structure rather than to the individual dwelling units therein.</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</si>
  <si>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</si>
  <si>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</si>
  <si>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 xml:space="preserve">The definitions of types of dwellings, used in the Surveys, are in accordance with those in the Census. </t>
  </si>
  <si>
    <t xml:space="preserve">Note to readers </t>
  </si>
  <si>
    <r>
      <t xml:space="preserve">A dwelling is defined as being </t>
    </r>
    <r>
      <rPr>
        <b/>
        <sz val="11"/>
        <color theme="1"/>
        <rFont val="Arial"/>
        <family val="2"/>
      </rPr>
      <t>“absorbed</t>
    </r>
    <r>
      <rPr>
        <sz val="11"/>
        <rFont val="Arial"/>
        <family val="2"/>
      </rPr>
      <t>” when a binding, non-conditional agreement is made to buy the dwelling.</t>
    </r>
  </si>
  <si>
    <t>Source: CMHC Starts and Completion Survey, Market Absorption Survey</t>
  </si>
  <si>
    <t>Source:  CMHC Starts and Completions Survey and Market Absorption Survey</t>
  </si>
  <si>
    <t>N.L.</t>
  </si>
  <si>
    <t>Chilliwack</t>
  </si>
  <si>
    <t>Drummondville</t>
  </si>
  <si>
    <t>Fredericton</t>
  </si>
  <si>
    <t>Kamloops</t>
  </si>
  <si>
    <t>Nanaimo</t>
  </si>
  <si>
    <t>Red Deer</t>
  </si>
  <si>
    <t>Belleville - Quinte West</t>
  </si>
  <si>
    <r>
      <t xml:space="preserve">6 new CMAs: </t>
    </r>
    <r>
      <rPr>
        <sz val="11"/>
        <color theme="4" tint="-0.499984740745262"/>
        <rFont val="Calibri"/>
        <family val="2"/>
      </rPr>
      <t xml:space="preserve">Chilliwack, Drummondville, Fredericton, Kamloops, Nanaimo and Red Deer </t>
    </r>
  </si>
  <si>
    <t>Note to readers:</t>
  </si>
  <si>
    <r>
      <t xml:space="preserve">Victoriaville V: </t>
    </r>
    <r>
      <rPr>
        <sz val="11"/>
        <color theme="4" tint="-0.499984740745262"/>
        <rFont val="Calibri"/>
        <family val="2"/>
      </rPr>
      <t>now a large CA (population 50,000+)</t>
    </r>
  </si>
  <si>
    <r>
      <t xml:space="preserve">Joliette V: </t>
    </r>
    <r>
      <rPr>
        <sz val="11"/>
        <color theme="4" tint="-0.499984740745262"/>
        <rFont val="Calibri"/>
        <family val="2"/>
      </rPr>
      <t>now a large CA (population 50,000+)</t>
    </r>
  </si>
  <si>
    <r>
      <t xml:space="preserve">Amos V: </t>
    </r>
    <r>
      <rPr>
        <sz val="11"/>
        <color theme="4" tint="-0.499984740745262"/>
        <rFont val="Calibri"/>
        <family val="2"/>
      </rPr>
      <t>now a CA (population 10,000-49,999)</t>
    </r>
  </si>
  <si>
    <r>
      <t xml:space="preserve">Essa CA: </t>
    </r>
    <r>
      <rPr>
        <sz val="11"/>
        <color theme="4" tint="-0.499984740745262"/>
        <rFont val="Calibri"/>
        <family val="2"/>
      </rPr>
      <t>now a CA (population 10,000-49,999)</t>
    </r>
  </si>
  <si>
    <r>
      <t xml:space="preserve">Ladysmith CA: </t>
    </r>
    <r>
      <rPr>
        <sz val="11"/>
        <color theme="4" tint="-0.499984740745262"/>
        <rFont val="Calibri"/>
        <family val="2"/>
      </rPr>
      <t>now a CA (population 10,000-49,999)</t>
    </r>
  </si>
  <si>
    <r>
      <t xml:space="preserve">Sainte-Agathe-des-Monts: </t>
    </r>
    <r>
      <rPr>
        <sz val="11"/>
        <color theme="4" tint="-0.499984740745262"/>
        <rFont val="Calibri"/>
        <family val="2"/>
      </rPr>
      <t>now a CA (population 10,000-49,999)</t>
    </r>
  </si>
  <si>
    <r>
      <t xml:space="preserve">Trail CA: </t>
    </r>
    <r>
      <rPr>
        <sz val="11"/>
        <color theme="4" tint="-0.499984740745262"/>
        <rFont val="Calibri"/>
        <family val="2"/>
      </rPr>
      <t>now a CA (population 10,000-49,999)</t>
    </r>
  </si>
  <si>
    <r>
      <t xml:space="preserve">Belleville CMA: </t>
    </r>
    <r>
      <rPr>
        <sz val="11"/>
        <color theme="4" tint="-0.499984740745262"/>
        <rFont val="Calibri"/>
        <family val="2"/>
      </rPr>
      <t>name was modified to Belleville - Quinte West</t>
    </r>
  </si>
  <si>
    <r>
      <t xml:space="preserve">East Hants MD : </t>
    </r>
    <r>
      <rPr>
        <sz val="11"/>
        <color theme="4" tint="-0.499984740745262"/>
        <rFont val="Calibri"/>
        <family val="2"/>
      </rPr>
      <t>almagated with Halifax</t>
    </r>
    <r>
      <rPr>
        <b/>
        <sz val="11"/>
        <color theme="4" tint="-0.499984740745262"/>
        <rFont val="Calibri"/>
        <family val="2"/>
      </rPr>
      <t xml:space="preserve"> </t>
    </r>
    <r>
      <rPr>
        <sz val="11"/>
        <color theme="4" tint="-0.499984740745262"/>
        <rFont val="Calibri"/>
        <family val="2"/>
      </rPr>
      <t>CMA</t>
    </r>
  </si>
  <si>
    <t>Please note CMHC has updated the Starts and Completions Survey methodology and the Market Absorption Survey methodology:</t>
  </si>
  <si>
    <t>As of January, 2023, data contained within this publication reflect 2021 Census geography in line with Statistics Canada's Standard Geographical Classification (SGC). The following is a summary of geography changes:</t>
  </si>
  <si>
    <t xml:space="preserve">Census Metropolitan Area (CMA) and Census Agglomeration (CA) changes: </t>
  </si>
  <si>
    <r>
      <t xml:space="preserve">Ottawa CMA: </t>
    </r>
    <r>
      <rPr>
        <sz val="11"/>
        <color theme="4" tint="-0.499984740745262"/>
        <rFont val="Calibri"/>
        <family val="2"/>
      </rPr>
      <t>Arnprior T and Carleton Place T are now merged with Ottawa CMA</t>
    </r>
  </si>
  <si>
    <r>
      <t>Essex T :</t>
    </r>
    <r>
      <rPr>
        <sz val="11"/>
        <color theme="4" tint="-0.499984740745262"/>
        <rFont val="Calibri"/>
        <family val="2"/>
      </rPr>
      <t xml:space="preserve"> merged with Windsor CMA</t>
    </r>
  </si>
  <si>
    <r>
      <t xml:space="preserve">Leamington MU : </t>
    </r>
    <r>
      <rPr>
        <sz val="11"/>
        <color theme="4" tint="-0.499984740745262"/>
        <rFont val="Calibri"/>
        <family val="2"/>
      </rPr>
      <t>merged with Windsor CMA</t>
    </r>
  </si>
  <si>
    <r>
      <t xml:space="preserve">Completions: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 xml:space="preserve">with exceptions of Charlottetown CA,  Whitehorse CA, and Yellowknife CA </t>
    </r>
  </si>
  <si>
    <r>
      <t xml:space="preserve">Under Construction: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 xml:space="preserve">with exceptions of Charlottetown CA,  Whitehorse CA, and Yellowknife CA </t>
    </r>
  </si>
  <si>
    <r>
      <t xml:space="preserve">Absorbed units: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</si>
  <si>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t>Table 18</t>
  </si>
  <si>
    <r>
      <rPr>
        <vertAlign val="superscript"/>
        <sz val="7"/>
        <color rgb="FF000000"/>
        <rFont val="Gill Sans Std"/>
      </rPr>
      <t>1</t>
    </r>
    <r>
      <rPr>
        <sz val="7"/>
        <color indexed="8"/>
        <rFont val="Gill Sans Std"/>
        <family val="2"/>
      </rPr>
      <t xml:space="preserve"> Data for 2021, 2022 based on 2016 Census Standard Geographical Classification (SGC) and data for 2023 based on 2021 Census SGC. Data as of 2023 is for Census Metropolitan Areas only.  </t>
    </r>
  </si>
  <si>
    <t>Table 9</t>
  </si>
  <si>
    <t xml:space="preserve">As part of the Starts and Completions Survey, both housing starts and housing completions are enumerated monthly in urban areas with populations in excess of 100,000 as defined by the 2021 Census. Housing starts only are enumerated monthly in urban centres of 50,000 to 99,999. In urban areas with populations of 10,000 to 49,999, housing starts only are enumerated in the last month of each quarter (i.e. four times a year, in March, June, September and December). Monthly starts activity in quarterly locations are statistically estimated at a provincial level for single and multi categories. In centres with populations below 10,000 housing starts only are enumerated on a sample basis, also in the last month of each quarter (i.e. in March, June, September and December). </t>
  </si>
  <si>
    <t xml:space="preserve">The Market Absorption Survey is carried out in conjunction with the Starts and Completions Survey in urban areas with populations in excess of 100,000.  
When a structure is recorded as completed, a report is also made as to whether or not a unit has been sold. The dwellings are then enumerated each month until such time as absorption occurs. </t>
  </si>
  <si>
    <t>The survey of conversions and demolitions is conducted monthly and only in urban areas with a population of 100,000 as defined by the 2021 census.</t>
  </si>
  <si>
    <t xml:space="preserve">Census metropolitan area (CMA) and census agglomeration (CA) </t>
  </si>
  <si>
    <t xml:space="preserve">The general concept of these standard units is one of an urban core, and the adjacent urban and rural areas that have a high degree of social and economic 
integration with that urban core, as measured by commuting flows derived from Census of Population data on place of work. </t>
  </si>
  <si>
    <t xml:space="preserve">Census metropolitan area (CMA) </t>
  </si>
  <si>
    <t xml:space="preserve">To form a census metropolitan area (CMA), the urban core must have a population of at least 50,000 and the area (CMA) must have a population of at least 100,000.
 Once an area becomes a CMA, it is retained as a CMA even if the population of its urban core declines below 50,000. </t>
  </si>
  <si>
    <t xml:space="preserve">Census agglomeration (CA) </t>
  </si>
  <si>
    <t xml:space="preserve">To form a census agglomeration (CA), the urban core must have a population of at least 10,000. If the population of the urban core of a CA declines below 10,000, the CA is retired.  </t>
  </si>
  <si>
    <t xml:space="preserve">As of March 2003, CAs are no longer required to have an urban core population count of 100,000 to be promoted to the status of a CMA. Instead, 
CAs will assume the status of a CMA if they have attained a total population of at least 100,000 and an urban core of 50,000 or more. </t>
  </si>
  <si>
    <t xml:space="preserve">Census subdivision (CSD) </t>
  </si>
  <si>
    <t xml:space="preserve">Census subdivision is a general term for municipalities as determined by provincial or territorial legislation, or areas treated as municipal equivalents for 
statistical purposes. Municipalities are units of local government. </t>
  </si>
  <si>
    <t>For more information, visit Statistics Canada website at: www.statcan.gc.ca/en/geography</t>
  </si>
  <si>
    <t>Coverage and Geography</t>
  </si>
  <si>
    <t>Demolitions and Conversions</t>
  </si>
  <si>
    <t>CMHC now collects data on residential units that are demolished, residential units that are converted to non-residential units, non-residential space that is converted to residential units, 
and residential-toresidential conversions. This data is being collected to get a more complete picture of the overall housing stock. Further definition of these concepts are:</t>
  </si>
  <si>
    <t>Only the start (initiation) of a Demolition or Conversion – Residential to Non-Residential is collected and reported.</t>
  </si>
  <si>
    <t>Non-Residential to Residential Conversions are tracked from start to completion. Homeowner/Condominium structures are tracked until they are absorbed.</t>
  </si>
  <si>
    <t xml:space="preserve">For Residential-to-residential conversions involving less than three converted units (i.e. the number of units added or removed from the structure) 
or are located in an urban areas with populations of 10,000 to 49,999, the start and completion are reported in the same month. 
Residential-toresidential conversions involving three or more converted units and are located in urban areas with populations in excess of 50,000 are tracked 
from start to completion.    </t>
  </si>
  <si>
    <t>Types of dwelling</t>
  </si>
  <si>
    <r>
      <t>A “</t>
    </r>
    <r>
      <rPr>
        <b/>
        <sz val="11"/>
        <color theme="1"/>
        <rFont val="Calibri"/>
        <family val="2"/>
        <scheme val="minor"/>
      </rPr>
      <t>start</t>
    </r>
    <r>
      <rPr>
        <sz val="11"/>
        <rFont val="Arial"/>
        <family val="2"/>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</si>
  <si>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Calibri"/>
        <family val="2"/>
        <scheme val="minor"/>
      </rPr>
      <t>completion</t>
    </r>
    <r>
      <rPr>
        <sz val="11"/>
        <rFont val="Arial"/>
        <family val="2"/>
      </rPr>
      <t>” is defined as the stage at which all proposed construction work on the building has been performed,
 although under some circumstances a building may be counted as completed where up to 10 percent of the proposed work remains to be done.</t>
    </r>
  </si>
  <si>
    <r>
      <t>The number of units “</t>
    </r>
    <r>
      <rPr>
        <b/>
        <sz val="11"/>
        <color theme="1"/>
        <rFont val="Calibri"/>
        <family val="2"/>
        <scheme val="minor"/>
      </rPr>
      <t>under construction</t>
    </r>
    <r>
      <rPr>
        <sz val="11"/>
        <rFont val="Arial"/>
        <family val="2"/>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</si>
  <si>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Calibri"/>
        <family val="2"/>
        <scheme val="minor"/>
      </rPr>
      <t>“absorbed</t>
    </r>
    <r>
      <rPr>
        <sz val="11"/>
        <rFont val="Arial"/>
        <family val="2"/>
      </rPr>
      <t>” when a binding, non-conditional agreement is made to buy the dwelling.</t>
    </r>
  </si>
  <si>
    <r>
      <rPr>
        <b/>
        <sz val="11"/>
        <color theme="1"/>
        <rFont val="Calibri"/>
        <family val="2"/>
        <scheme val="minor"/>
      </rPr>
      <t>Only new self-contained dwelling units are enumerated in the Starts and Completions Survey</t>
    </r>
    <r>
      <rPr>
        <sz val="11"/>
        <rFont val="Arial"/>
        <family val="2"/>
      </rPr>
      <t>, such units being designed for non-transient and year-round occupancy.</t>
    </r>
  </si>
  <si>
    <r>
      <rPr>
        <b/>
        <sz val="11"/>
        <color theme="1"/>
        <rFont val="Calibri"/>
        <family val="2"/>
        <scheme val="minor"/>
      </rPr>
      <t>Seasonal dwellings</t>
    </r>
    <r>
      <rPr>
        <sz val="11"/>
        <rFont val="Arial"/>
        <family val="2"/>
      </rPr>
      <t xml:space="preserve">, such as:  summer cottages, hunting and ski cabins, trailers and boat houses; and </t>
    </r>
    <r>
      <rPr>
        <b/>
        <sz val="11"/>
        <color theme="1"/>
        <rFont val="Calibri"/>
        <family val="2"/>
        <scheme val="minor"/>
      </rPr>
      <t>hostel accommodation</t>
    </r>
    <r>
      <rPr>
        <sz val="11"/>
        <rFont val="Arial"/>
        <family val="2"/>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</si>
  <si>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Calibri"/>
        <family val="2"/>
        <scheme val="minor"/>
      </rPr>
      <t>Mobile Homes</t>
    </r>
    <r>
      <rPr>
        <sz val="11"/>
        <rFont val="Arial"/>
        <family val="2"/>
      </rPr>
      <t xml:space="preserve"> are included in the surveys.  A mobile home is a type of manufactured house that is completely assembled in a factory, then moved to a foundation before it is occupied.</t>
    </r>
  </si>
  <si>
    <r>
      <rPr>
        <b/>
        <sz val="11"/>
        <color theme="1"/>
        <rFont val="Calibri"/>
        <family val="2"/>
        <scheme val="minor"/>
      </rPr>
      <t>Trailers</t>
    </r>
    <r>
      <rPr>
        <sz val="11"/>
        <rFont val="Arial"/>
        <family val="2"/>
      </rPr>
      <t xml:space="preserve"> or any other movable dwelling (the larger often referred to as a mobile home) with no permanent foundation are excluded from the surveys.</t>
    </r>
  </si>
  <si>
    <r>
      <rPr>
        <b/>
        <sz val="11"/>
        <color theme="1"/>
        <rFont val="Calibri"/>
        <family val="2"/>
        <scheme val="minor"/>
      </rPr>
      <t>Market housing</t>
    </r>
    <r>
      <rPr>
        <sz val="11"/>
        <rFont val="Arial"/>
        <family val="2"/>
      </rPr>
      <t xml:space="preserve"> is defined as housing that is marketed to the general public for sale or rent.</t>
    </r>
  </si>
  <si>
    <r>
      <t xml:space="preserve">A </t>
    </r>
    <r>
      <rPr>
        <b/>
        <sz val="11"/>
        <color theme="1"/>
        <rFont val="Calibri"/>
        <family val="2"/>
        <scheme val="minor"/>
      </rPr>
      <t>“dwelling unit</t>
    </r>
    <r>
      <rPr>
        <sz val="11"/>
        <rFont val="Arial"/>
        <family val="2"/>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</si>
  <si>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r>
      <rPr>
        <b/>
        <sz val="11"/>
        <color theme="1"/>
        <rFont val="Calibri"/>
        <family val="2"/>
        <scheme val="minor"/>
      </rPr>
      <t>Demolition:</t>
    </r>
    <r>
      <rPr>
        <sz val="11"/>
        <rFont val="Arial"/>
        <family val="2"/>
      </rPr>
      <t xml:space="preserve"> A structure is considered demolished if: • The whole structure including the foundation is torn down. • The whole structure is torn down and the foundation is kept.</t>
    </r>
  </si>
  <si>
    <r>
      <rPr>
        <b/>
        <sz val="11"/>
        <color theme="1"/>
        <rFont val="Calibri"/>
        <family val="2"/>
        <scheme val="minor"/>
      </rPr>
      <t>Conversions – Residential to Non-Residential:</t>
    </r>
    <r>
      <rPr>
        <sz val="11"/>
        <rFont val="Arial"/>
        <family val="2"/>
      </rPr>
      <t xml:space="preserve"> A residential unit is considered as being converted to a non-residential unit if the unit is no longer being used for a residential purpose.</t>
    </r>
  </si>
  <si>
    <r>
      <rPr>
        <b/>
        <sz val="11"/>
        <color theme="1"/>
        <rFont val="Calibri"/>
        <family val="2"/>
        <scheme val="minor"/>
      </rPr>
      <t>Conversions – Non-Residential to Residential:</t>
    </r>
    <r>
      <rPr>
        <sz val="11"/>
        <rFont val="Arial"/>
        <family val="2"/>
      </rPr>
      <t xml:space="preserve"> A non-residential space is considered as being converted to residential units if the newly created units are being used for residential purposes.</t>
    </r>
  </si>
  <si>
    <r>
      <rPr>
        <b/>
        <sz val="11"/>
        <color theme="1"/>
        <rFont val="Calibri"/>
        <family val="2"/>
        <scheme val="minor"/>
      </rPr>
      <t>Conversions – Residential to Residential:</t>
    </r>
    <r>
      <rPr>
        <sz val="11"/>
        <rFont val="Arial"/>
        <family val="2"/>
      </rPr>
      <t xml:space="preserve"> Refers to the addition or removal of units from a residential structure on an existing foundation. There are two types of residential-to-residential conversions: a positive conversion and a negative conversion.</t>
    </r>
  </si>
  <si>
    <r>
      <rPr>
        <b/>
        <sz val="11"/>
        <color theme="1"/>
        <rFont val="Calibri"/>
        <family val="2"/>
        <scheme val="minor"/>
      </rPr>
      <t xml:space="preserve">      Positive conversion:</t>
    </r>
    <r>
      <rPr>
        <sz val="11"/>
        <rFont val="Arial"/>
        <family val="2"/>
      </rPr>
      <t xml:space="preserve"> refers to the conversion of a single unit structure to a multi-unit structure or to the addition of multi residential units to an existing multi-unit structure.
      In either case, the conversion results in a net increase in the number of dwelling units.</t>
    </r>
  </si>
  <si>
    <r>
      <rPr>
        <b/>
        <sz val="11"/>
        <color theme="1"/>
        <rFont val="Calibri"/>
        <family val="2"/>
        <scheme val="minor"/>
      </rPr>
      <t xml:space="preserve">      Negative conversion:</t>
    </r>
    <r>
      <rPr>
        <sz val="11"/>
        <rFont val="Arial"/>
        <family val="2"/>
      </rPr>
      <t xml:space="preserve"> refers to the removal of units from an existing residential structure. This could include the removal or de-conversion of residential units within a  multi-unit structure or a 
      multi-unit structure being converted to a single-unit residential structure. In either case, the conversion results in a net loss in the number of dwelling units.  </t>
    </r>
  </si>
  <si>
    <r>
      <t>A “</t>
    </r>
    <r>
      <rPr>
        <b/>
        <sz val="11"/>
        <color theme="1"/>
        <rFont val="Calibri"/>
        <family val="2"/>
        <scheme val="minor"/>
      </rPr>
      <t>single-detached</t>
    </r>
    <r>
      <rPr>
        <sz val="11"/>
        <rFont val="Arial"/>
        <family val="2"/>
      </rPr>
      <t xml:space="preserve">” dwelling is a building containing only one dwelling unit, which is completely separated on all sides from any other dwelling or structure. </t>
    </r>
  </si>
  <si>
    <r>
      <t>A “</t>
    </r>
    <r>
      <rPr>
        <b/>
        <sz val="11"/>
        <color theme="1"/>
        <rFont val="Calibri"/>
        <family val="2"/>
        <scheme val="minor"/>
      </rPr>
      <t>semi-detached</t>
    </r>
    <r>
      <rPr>
        <sz val="11"/>
        <rFont val="Arial"/>
        <family val="2"/>
      </rPr>
      <t xml:space="preserve">” dwelling is one of two dwellings located side-by-side in a building, adjoining no other structure and separated by a common or party wall extending from ground to roof. </t>
    </r>
  </si>
  <si>
    <r>
      <t>A “</t>
    </r>
    <r>
      <rPr>
        <b/>
        <sz val="11"/>
        <color theme="1"/>
        <rFont val="Calibri"/>
        <family val="2"/>
        <scheme val="minor"/>
      </rPr>
      <t>row</t>
    </r>
    <r>
      <rPr>
        <sz val="11"/>
        <rFont val="Arial"/>
        <family val="2"/>
      </rPr>
      <t xml:space="preserve">” dwelling is a ground-oriented dwelling attached to two or more similar units so that the resulting row structure contains three or more units. </t>
    </r>
  </si>
  <si>
    <r>
      <t>An “</t>
    </r>
    <r>
      <rPr>
        <b/>
        <sz val="11"/>
        <color theme="1"/>
        <rFont val="Calibri"/>
        <family val="2"/>
        <scheme val="minor"/>
      </rPr>
      <t>apartment and other</t>
    </r>
    <r>
      <rPr>
        <sz val="11"/>
        <rFont val="Arial"/>
        <family val="2"/>
      </rPr>
      <t xml:space="preserve">” dwelling includes all dwellings other than those described above, including structures commonly referred to as duplexes, triplexes, double duplexes and row duplexes. </t>
    </r>
  </si>
  <si>
    <t>Area</t>
  </si>
  <si>
    <t>Table 16: Absorption of Homeowner and Condominium Units by Dwelling Type,in Census Metropolitan Areas</t>
  </si>
  <si>
    <t xml:space="preserve">The following notes to readers are designed to provide an update to clients on changes or corrections made to our housing surveys methodology or data. </t>
  </si>
  <si>
    <t>Geography</t>
  </si>
  <si>
    <t xml:space="preserve">Methodology: </t>
  </si>
  <si>
    <r>
      <t>August 2023 release:</t>
    </r>
    <r>
      <rPr>
        <sz val="11"/>
        <color theme="4" tint="-0.499984740745262"/>
        <rFont val="Calibri"/>
        <family val="2"/>
      </rPr>
      <t xml:space="preserve"> due to the wildfire situation in British Columbia, CMHC was only able to administer a partial SCS in Kamloops CMA, North Kamloops and South Shore areas for the month of July 2023.</t>
    </r>
  </si>
  <si>
    <r>
      <t xml:space="preserve">April 2024 release: </t>
    </r>
    <r>
      <rPr>
        <sz val="11"/>
        <color theme="4" tint="-0.499984740745262"/>
        <rFont val="Calibri"/>
        <family val="2"/>
      </rPr>
      <t>A special revision was made to seasonally adjusted dwelling starts for Sudbury/Grand Sudbury for the months of January, February and March 2024 (Table 12).</t>
    </r>
    <r>
      <rPr>
        <b/>
        <sz val="11"/>
        <color theme="4" tint="-0.499984740745262"/>
        <rFont val="Calibri"/>
        <family val="2"/>
      </rPr>
      <t xml:space="preserve"> </t>
    </r>
  </si>
  <si>
    <t xml:space="preserve">Errata/Corrections: </t>
  </si>
  <si>
    <r>
      <t>in Census Metropolitan Areas</t>
    </r>
    <r>
      <rPr>
        <b/>
        <vertAlign val="superscript"/>
        <sz val="12"/>
        <rFont val="Gill Sans Std"/>
      </rPr>
      <t>1</t>
    </r>
  </si>
  <si>
    <r>
      <t xml:space="preserve">Table 3 - 14, 18-20: </t>
    </r>
    <r>
      <rPr>
        <sz val="11"/>
        <color theme="4" tint="-0.499984740745262"/>
        <rFont val="Calibri"/>
        <family val="2"/>
      </rPr>
      <t>Annual data (actuals) for 2021, 2022 and 2023 were corrected. Publications for January to December 2023 and January to July 2024 were re-issued on CMHC’s website.   </t>
    </r>
  </si>
  <si>
    <t>© 2025 Canada Mortgage and Housing Corporation</t>
  </si>
  <si>
    <r>
      <rPr>
        <vertAlign val="superscript"/>
        <sz val="7"/>
        <color rgb="FF000000"/>
        <rFont val="Gill Sans Std"/>
      </rPr>
      <t>1</t>
    </r>
    <r>
      <rPr>
        <sz val="7"/>
        <color indexed="8"/>
        <rFont val="Gill Sans Std"/>
        <family val="2"/>
      </rPr>
      <t xml:space="preserve"> 2024 and 2025 data based on 2021 Census Definitions.</t>
    </r>
  </si>
  <si>
    <r>
      <t>2024</t>
    </r>
    <r>
      <rPr>
        <b/>
        <vertAlign val="superscript"/>
        <sz val="9"/>
        <color indexed="8"/>
        <rFont val="Gill Sans Std"/>
        <family val="2"/>
      </rPr>
      <t>2</t>
    </r>
  </si>
  <si>
    <r>
      <t>2024</t>
    </r>
    <r>
      <rPr>
        <b/>
        <vertAlign val="superscript"/>
        <sz val="9"/>
        <color indexed="8"/>
        <rFont val="Gill Sans Std"/>
        <family val="2"/>
      </rPr>
      <t xml:space="preserve"> 2</t>
    </r>
  </si>
  <si>
    <t>Table 19-20: Dwelling Starts in Canada, Atlantic Provinces, Seasonally Adjusted at Annual Rates</t>
  </si>
  <si>
    <r>
      <rPr>
        <b/>
        <sz val="7"/>
        <color rgb="FF000000"/>
        <rFont val="Gill Sans Std"/>
      </rPr>
      <t>Important notice</t>
    </r>
    <r>
      <rPr>
        <sz val="7"/>
        <color indexed="8"/>
        <rFont val="Gill Sans Std"/>
      </rPr>
      <t>: CMHC is conducting a methodology review of the unabsorbed inventory data series in the Ontario context. Updates will follow. In the meantime, please use the data with caution. Thank you for your understanding.”</t>
    </r>
  </si>
  <si>
    <t>Dec.</t>
  </si>
  <si>
    <r>
      <t>2025</t>
    </r>
    <r>
      <rPr>
        <b/>
        <vertAlign val="superscript"/>
        <sz val="9"/>
        <color indexed="8"/>
        <rFont val="Gill Sans Std"/>
        <family val="2"/>
      </rPr>
      <t>2</t>
    </r>
  </si>
  <si>
    <r>
      <t>2025</t>
    </r>
    <r>
      <rPr>
        <b/>
        <vertAlign val="superscript"/>
        <sz val="9"/>
        <color indexed="8"/>
        <rFont val="Gill Sans Std"/>
        <family val="2"/>
      </rPr>
      <t xml:space="preserve"> 2</t>
    </r>
  </si>
  <si>
    <t>Jan</t>
  </si>
  <si>
    <r>
      <rPr>
        <vertAlign val="superscript"/>
        <sz val="7"/>
        <color rgb="FF000000"/>
        <rFont val="Gill Sans Std"/>
      </rPr>
      <t>1</t>
    </r>
    <r>
      <rPr>
        <sz val="7"/>
        <color indexed="8"/>
        <rFont val="Gill Sans Std"/>
        <family val="2"/>
      </rPr>
      <t xml:space="preserve"> Data for 2023, 2024 and 2025 based on 2021 Census Definitions.</t>
    </r>
  </si>
  <si>
    <r>
      <rPr>
        <vertAlign val="superscript"/>
        <sz val="7"/>
        <color rgb="FF000000"/>
        <rFont val="Gill Sans Std"/>
      </rPr>
      <t xml:space="preserve">1 </t>
    </r>
    <r>
      <rPr>
        <sz val="7"/>
        <color indexed="8"/>
        <rFont val="Gill Sans Std"/>
        <family val="2"/>
      </rPr>
      <t>Data for 2023, 2024 and 2025 based on 2021 Census Definitions.</t>
    </r>
  </si>
  <si>
    <r>
      <t xml:space="preserve">2024 </t>
    </r>
    <r>
      <rPr>
        <b/>
        <vertAlign val="superscript"/>
        <sz val="9"/>
        <color indexed="8"/>
        <rFont val="Gill Sans Std"/>
        <family val="2"/>
      </rPr>
      <t xml:space="preserve">2 </t>
    </r>
  </si>
  <si>
    <r>
      <t xml:space="preserve">2024 </t>
    </r>
    <r>
      <rPr>
        <b/>
        <vertAlign val="superscript"/>
        <sz val="9"/>
        <color indexed="8"/>
        <rFont val="Gill Sans Std"/>
        <family val="2"/>
      </rPr>
      <t>2</t>
    </r>
  </si>
  <si>
    <t>February 2025 - 2026</t>
  </si>
  <si>
    <t>January - February 2025 - 2026</t>
  </si>
  <si>
    <t>Feb.</t>
  </si>
  <si>
    <t>7,668</t>
  </si>
  <si>
    <t>33,901</t>
  </si>
  <si>
    <t>10,523</t>
  </si>
  <si>
    <t>147,387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</si>
</sst>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
    <numFmt numFmtId="165" formatCode="_(* #,##0_);_(* \(#,##0\);_(* &quot;-&quot;??_);_(@_)"/>
  </numFmts>
  <fonts count="76">
    <font>
      <sz val="12"/>
      <name val="Arial"/>
    </font>
    <font>
      <sz val="12"/>
      <color indexed="8"/>
      <name val="Gill Sans Std"/>
      <family val="2"/>
    </font>
    <font>
      <b/>
      <sz val="12"/>
      <color indexed="8"/>
      <name val="Gill Sans Std"/>
      <family val="2"/>
    </font>
    <font>
      <sz val="10"/>
      <color indexed="8"/>
      <name val="Gill Sans Std"/>
      <family val="2"/>
    </font>
    <font>
      <sz val="9"/>
      <color indexed="8"/>
      <name val="Gill Sans Std"/>
      <family val="2"/>
    </font>
    <font>
      <b/>
      <sz val="9"/>
      <color indexed="8"/>
      <name val="Gill Sans Std"/>
      <family val="2"/>
    </font>
    <font>
      <sz val="7"/>
      <color indexed="8"/>
      <name val="Gill Sans Std"/>
      <family val="2"/>
    </font>
    <font>
      <sz val="12"/>
      <name val="Gill Sans Std"/>
      <family val="2"/>
    </font>
    <font>
      <i/>
      <sz val="7"/>
      <color indexed="8"/>
      <name val="Gill Sans Std"/>
      <family val="2"/>
    </font>
    <font>
      <b/>
      <i/>
      <sz val="9"/>
      <color indexed="8"/>
      <name val="Gill Sans Std"/>
      <family val="2"/>
    </font>
    <font>
      <i/>
      <sz val="9"/>
      <color indexed="8"/>
      <name val="Gill Sans Std"/>
      <family val="2"/>
    </font>
    <font>
      <sz val="8"/>
      <name val="Arial"/>
      <family val="2"/>
    </font>
    <font>
      <sz val="12"/>
      <color indexed="8"/>
      <name val="Arial"/>
      <family val="2"/>
    </font>
    <font>
      <sz val="9"/>
      <name val="Gill Sans Std"/>
      <family val="2"/>
    </font>
    <font>
      <sz val="9"/>
      <name val="Arial"/>
      <family val="2"/>
    </font>
    <font>
      <i/>
      <sz val="9"/>
      <name val="Arial"/>
      <family val="2"/>
    </font>
    <font>
      <b/>
      <sz val="11"/>
      <color indexed="9"/>
      <name val="Gill Sans Std"/>
      <family val="2"/>
    </font>
    <font>
      <sz val="11"/>
      <color indexed="9"/>
      <name val="Arial"/>
      <family val="2"/>
    </font>
    <font>
      <b/>
      <i/>
      <sz val="9"/>
      <name val="Gill Sans Std"/>
      <family val="2"/>
    </font>
    <font>
      <sz val="11"/>
      <name val="Gill Sans Std"/>
      <family val="2"/>
    </font>
    <font>
      <b/>
      <i/>
      <sz val="11"/>
      <color indexed="9"/>
      <name val="Gill Sans Std"/>
      <family val="2"/>
    </font>
    <font>
      <i/>
      <sz val="11"/>
      <color indexed="9"/>
      <name val="Arial"/>
      <family val="2"/>
    </font>
    <font>
      <sz val="7"/>
      <name val="Gill Sans Std"/>
      <family val="2"/>
    </font>
    <font>
      <b/>
      <vertAlign val="superscript"/>
      <sz val="9"/>
      <color indexed="8"/>
      <name val="Gill Sans Std"/>
      <family val="2"/>
    </font>
    <font>
      <b/>
      <sz val="9"/>
      <name val="Gill Sans Std"/>
      <family val="2"/>
    </font>
    <font>
      <vertAlign val="superscript"/>
      <sz val="7"/>
      <color indexed="8"/>
      <name val="Gill Sans Std"/>
      <family val="2"/>
    </font>
    <font>
      <i/>
      <vertAlign val="superscript"/>
      <sz val="7"/>
      <color indexed="8"/>
      <name val="Gill Sans Std"/>
      <family val="2"/>
    </font>
    <font>
      <sz val="11"/>
      <name val="Arial"/>
      <family val="2"/>
    </font>
    <font>
      <i/>
      <sz val="11"/>
      <name val="Arial"/>
      <family val="2"/>
    </font>
    <font>
      <sz val="6"/>
      <color indexed="8"/>
      <name val="Georgia"/>
      <family val="1"/>
    </font>
    <font>
      <b/>
      <vertAlign val="superscript"/>
      <sz val="8"/>
      <color indexed="8"/>
      <name val="Gill Sans Std"/>
      <family val="2"/>
    </font>
    <font>
      <sz val="12"/>
      <name val="Arial"/>
      <family val="2"/>
    </font>
    <font>
      <b/>
      <sz val="8"/>
      <color indexed="8"/>
      <name val="Gill Sans Std"/>
      <family val="2"/>
    </font>
    <font>
      <b/>
      <i/>
      <sz val="8"/>
      <color indexed="8"/>
      <name val="Gill Sans Std"/>
      <family val="2"/>
    </font>
    <font>
      <sz val="8"/>
      <color indexed="8"/>
      <name val="Gill Sans Std"/>
      <family val="2"/>
    </font>
    <font>
      <sz val="7"/>
      <color indexed="8"/>
      <name val="Gill Sans"/>
      <family val="2"/>
    </font>
    <font>
      <sz val="7"/>
      <name val="Gill Sans"/>
      <family val="2"/>
    </font>
    <font>
      <i/>
      <sz val="7"/>
      <color indexed="8"/>
      <name val="Gill Sans"/>
      <family val="2"/>
    </font>
    <font>
      <sz val="10"/>
      <name val="Arial"/>
      <family val="2"/>
    </font>
    <font>
      <sz val="10"/>
      <name val="Gill Sans Std"/>
      <family val="2"/>
    </font>
    <font>
      <b/>
      <sz val="7"/>
      <color indexed="8"/>
      <name val="Gill Sans Std"/>
      <family val="2"/>
    </font>
    <font>
      <b/>
      <i/>
      <sz val="7"/>
      <color indexed="8"/>
      <name val="Gill Sans Std"/>
      <family val="2"/>
    </font>
    <font>
      <b/>
      <sz val="9"/>
      <color indexed="8"/>
      <name val="Gill Sans Std"/>
      <family val="2"/>
    </font>
    <font>
      <sz val="9"/>
      <color indexed="8"/>
      <name val="Gill Sans Std"/>
      <family val="2"/>
    </font>
    <font>
      <b/>
      <sz val="11"/>
      <name val="Gill Sans Std"/>
      <family val="2"/>
    </font>
    <font>
      <b/>
      <i/>
      <sz val="11"/>
      <name val="Gill Sans Std"/>
      <family val="2"/>
    </font>
    <font>
      <b/>
      <vertAlign val="superscript"/>
      <sz val="11"/>
      <name val="Gill Sans Std"/>
      <family val="2"/>
    </font>
    <font>
      <b/>
      <i/>
      <sz val="12"/>
      <name val="Arial"/>
      <family val="2"/>
    </font>
    <font>
      <i/>
      <sz val="12"/>
      <name val="Arial"/>
      <family val="2"/>
    </font>
    <font>
      <b/>
      <sz val="12"/>
      <name val="Gill Sans Std"/>
      <family val="2"/>
    </font>
    <font>
      <b/>
      <i/>
      <sz val="12"/>
      <name val="Gill Sans Std"/>
      <family val="2"/>
    </font>
    <font>
      <sz val="11"/>
      <color theme="0"/>
      <name val="Calibri"/>
      <family val="2"/>
      <scheme val="minor"/>
    </font>
    <font>
      <b/>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sz val="11"/>
      <color theme="1"/>
      <name val="Arial Black"/>
      <family val="2"/>
    </font>
    <font>
      <b/>
      <sz val="11"/>
      <color theme="1"/>
      <name val="Arial"/>
      <family val="2"/>
    </font>
    <font>
      <b/>
      <sz val="11"/>
      <color theme="4" tint="-0.499984740745262"/>
      <name val="Calibri"/>
      <family val="2"/>
    </font>
    <font>
      <sz val="11"/>
      <color theme="4" tint="-0.499984740745262"/>
      <name val="Calibri"/>
      <family val="2"/>
    </font>
    <font>
      <b/>
      <sz val="12"/>
      <color theme="4" tint="-0.499984740745262"/>
      <name val="Calibri"/>
      <family val="2"/>
    </font>
    <font>
      <b/>
      <sz val="14"/>
      <color theme="4" tint="-0.499984740745262"/>
      <name val="Calibri"/>
      <family val="2"/>
    </font>
    <font>
      <b/>
      <sz val="9"/>
      <color rgb="FF000000"/>
      <name val="Gill Sans Std"/>
    </font>
    <font>
      <b/>
      <sz val="9"/>
      <color indexed="8"/>
      <name val="Gill Sans Std"/>
    </font>
    <font>
      <b/>
      <sz val="12"/>
      <color rgb="FF244062"/>
      <name val="Calibri"/>
      <family val="2"/>
    </font>
    <font>
      <vertAlign val="superscript"/>
      <sz val="7"/>
      <color rgb="FF000000"/>
      <name val="Gill Sans Std"/>
    </font>
    <font>
      <sz val="7"/>
      <color indexed="8"/>
      <name val="Gill Sans Std"/>
    </font>
    <font>
      <b/>
      <sz val="11"/>
      <color theme="1"/>
      <name val="Calibri"/>
      <family val="2"/>
      <scheme val="minor"/>
    </font>
    <font>
      <sz val="10"/>
      <name val="Arial"/>
      <family val="2"/>
    </font>
    <font>
      <b/>
      <vertAlign val="superscript"/>
      <sz val="12"/>
      <name val="Gill Sans Std"/>
    </font>
    <font>
      <b/>
      <sz val="7"/>
      <color rgb="FF000000"/>
      <name val="Gill Sans Std"/>
    </font>
    <font>
      <sz val="12"/>
      <name val="Arial"/>
    </font>
    <font>
      <sz val="10"/>
      <name val="Arial"/>
    </font>
    <font>
      <b/>
      <sz val="9"/>
      <name val="Gill Sans Std"/>
    </font>
  </fonts>
  <fills count="11">
    <fill>
      <patternFill patternType="none"/>
    </fill>
    <fill>
      <patternFill patternType="gray125"/>
    </fill>
    <fill>
      <patternFill patternType="solid">
        <fgColor indexed="9"/>
        <bgColor indexed="64"/>
      </patternFill>
    </fill>
    <fill>
      <patternFill patternType="solid">
        <fgColor indexed="9"/>
        <bgColor indexed="10"/>
      </patternFill>
    </fill>
    <fill>
      <patternFill patternType="solid">
        <fgColor indexed="22"/>
        <bgColor indexed="64"/>
      </patternFill>
    </fill>
    <fill>
      <patternFill patternType="solid">
        <fgColor indexed="63"/>
        <bgColor indexed="64"/>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FFFFFF"/>
        <bgColor indexed="64"/>
      </patternFill>
    </fill>
    <fill>
      <patternFill patternType="solid">
        <fgColor rgb="FFFFFFFF"/>
        <bgColor rgb="FF000000"/>
      </patternFill>
    </fill>
  </fills>
  <borders count="114">
    <border>
      <left/>
      <right/>
      <top/>
      <bottom/>
      <diagonal/>
    </border>
    <border>
      <left style="thin">
        <color indexed="62"/>
      </left>
      <right style="thin">
        <color indexed="62"/>
      </right>
      <top style="thin">
        <color indexed="62"/>
      </top>
      <bottom style="thin">
        <color indexed="62"/>
      </bottom>
      <diagonal/>
    </border>
    <border>
      <left/>
      <right style="thin">
        <color indexed="62"/>
      </right>
      <top style="thin">
        <color indexed="62"/>
      </top>
      <bottom style="thin">
        <color indexed="62"/>
      </bottom>
      <diagonal/>
    </border>
    <border>
      <left/>
      <right style="medium">
        <color indexed="62"/>
      </right>
      <top style="thin">
        <color indexed="62"/>
      </top>
      <bottom style="thin">
        <color indexed="62"/>
      </bottom>
      <diagonal/>
    </border>
    <border>
      <left style="medium">
        <color indexed="62"/>
      </left>
      <right/>
      <top style="thin">
        <color indexed="62"/>
      </top>
      <bottom style="medium">
        <color indexed="62"/>
      </bottom>
      <diagonal/>
    </border>
    <border>
      <left style="medium">
        <color indexed="62"/>
      </left>
      <right/>
      <top style="thin">
        <color indexed="62"/>
      </top>
      <bottom style="thin">
        <color indexed="18"/>
      </bottom>
      <diagonal/>
    </border>
    <border>
      <left/>
      <right style="thin">
        <color indexed="62"/>
      </right>
      <top style="thin">
        <color indexed="62"/>
      </top>
      <bottom style="thin">
        <color indexed="18"/>
      </bottom>
      <diagonal/>
    </border>
    <border>
      <left style="thin">
        <color indexed="62"/>
      </left>
      <right style="thin">
        <color indexed="62"/>
      </right>
      <top style="thin">
        <color indexed="62"/>
      </top>
      <bottom style="thin">
        <color indexed="18"/>
      </bottom>
      <diagonal/>
    </border>
    <border>
      <left/>
      <right style="medium">
        <color indexed="62"/>
      </right>
      <top style="thin">
        <color indexed="62"/>
      </top>
      <bottom style="thin">
        <color indexed="18"/>
      </bottom>
      <diagonal/>
    </border>
    <border>
      <left style="medium">
        <color indexed="62"/>
      </left>
      <right/>
      <top style="thin">
        <color indexed="18"/>
      </top>
      <bottom style="thin">
        <color indexed="18"/>
      </bottom>
      <diagonal/>
    </border>
    <border>
      <left/>
      <right style="thin">
        <color indexed="62"/>
      </right>
      <top style="thin">
        <color indexed="18"/>
      </top>
      <bottom style="thin">
        <color indexed="18"/>
      </bottom>
      <diagonal/>
    </border>
    <border>
      <left style="thin">
        <color indexed="62"/>
      </left>
      <right style="thin">
        <color indexed="62"/>
      </right>
      <top style="thin">
        <color indexed="18"/>
      </top>
      <bottom style="thin">
        <color indexed="18"/>
      </bottom>
      <diagonal/>
    </border>
    <border>
      <left/>
      <right style="medium">
        <color indexed="62"/>
      </right>
      <top style="thin">
        <color indexed="18"/>
      </top>
      <bottom style="thin">
        <color indexed="18"/>
      </bottom>
      <diagonal/>
    </border>
    <border>
      <left style="medium">
        <color indexed="62"/>
      </left>
      <right/>
      <top/>
      <bottom/>
      <diagonal/>
    </border>
    <border>
      <left/>
      <right style="thin">
        <color indexed="62"/>
      </right>
      <top/>
      <bottom/>
      <diagonal/>
    </border>
    <border>
      <left style="thin">
        <color indexed="62"/>
      </left>
      <right style="thin">
        <color indexed="62"/>
      </right>
      <top/>
      <bottom/>
      <diagonal/>
    </border>
    <border>
      <left/>
      <right style="medium">
        <color indexed="62"/>
      </right>
      <top/>
      <bottom/>
      <diagonal/>
    </border>
    <border>
      <left style="medium">
        <color indexed="62"/>
      </left>
      <right/>
      <top style="thin">
        <color indexed="62"/>
      </top>
      <bottom style="thin">
        <color indexed="62"/>
      </bottom>
      <diagonal/>
    </border>
    <border>
      <left/>
      <right style="thin">
        <color indexed="62"/>
      </right>
      <top style="thin">
        <color indexed="62"/>
      </top>
      <bottom style="medium">
        <color indexed="62"/>
      </bottom>
      <diagonal/>
    </border>
    <border>
      <left style="thin">
        <color indexed="62"/>
      </left>
      <right style="thin">
        <color indexed="62"/>
      </right>
      <top style="thin">
        <color indexed="62"/>
      </top>
      <bottom style="medium">
        <color indexed="62"/>
      </bottom>
      <diagonal/>
    </border>
    <border>
      <left/>
      <right style="medium">
        <color indexed="62"/>
      </right>
      <top style="thin">
        <color indexed="62"/>
      </top>
      <bottom style="medium">
        <color indexed="62"/>
      </bottom>
      <diagonal/>
    </border>
    <border>
      <left style="medium">
        <color indexed="62"/>
      </left>
      <right/>
      <top/>
      <bottom style="thin">
        <color indexed="62"/>
      </bottom>
      <diagonal/>
    </border>
    <border>
      <left/>
      <right style="thin">
        <color indexed="62"/>
      </right>
      <top style="medium">
        <color indexed="62"/>
      </top>
      <bottom/>
      <diagonal/>
    </border>
    <border>
      <left/>
      <right style="thin">
        <color indexed="62"/>
      </right>
      <top/>
      <bottom style="thin">
        <color indexed="62"/>
      </bottom>
      <diagonal/>
    </border>
    <border>
      <left/>
      <right/>
      <top style="thin">
        <color indexed="62"/>
      </top>
      <bottom/>
      <diagonal/>
    </border>
    <border>
      <left/>
      <right/>
      <top/>
      <bottom style="thin">
        <color indexed="62"/>
      </bottom>
      <diagonal/>
    </border>
    <border>
      <left/>
      <right style="medium">
        <color indexed="62"/>
      </right>
      <top/>
      <bottom style="thin">
        <color indexed="62"/>
      </bottom>
      <diagonal/>
    </border>
    <border>
      <left style="medium">
        <color indexed="62"/>
      </left>
      <right/>
      <top style="medium">
        <color indexed="62"/>
      </top>
      <bottom/>
      <diagonal/>
    </border>
    <border>
      <left/>
      <right/>
      <top style="medium">
        <color indexed="62"/>
      </top>
      <bottom/>
      <diagonal/>
    </border>
    <border>
      <left style="medium">
        <color indexed="62"/>
      </left>
      <right/>
      <top/>
      <bottom style="medium">
        <color indexed="62"/>
      </bottom>
      <diagonal/>
    </border>
    <border>
      <left/>
      <right/>
      <top/>
      <bottom style="medium">
        <color indexed="62"/>
      </bottom>
      <diagonal/>
    </border>
    <border>
      <left style="thin">
        <color indexed="62"/>
      </left>
      <right style="thin">
        <color indexed="62"/>
      </right>
      <top style="thin">
        <color indexed="62"/>
      </top>
      <bottom/>
      <diagonal/>
    </border>
    <border>
      <left style="thin">
        <color indexed="62"/>
      </left>
      <right style="thin">
        <color indexed="62"/>
      </right>
      <top/>
      <bottom style="medium">
        <color indexed="62"/>
      </bottom>
      <diagonal/>
    </border>
    <border>
      <left/>
      <right style="medium">
        <color indexed="62"/>
      </right>
      <top style="medium">
        <color indexed="62"/>
      </top>
      <bottom/>
      <diagonal/>
    </border>
    <border>
      <left/>
      <right style="medium">
        <color indexed="62"/>
      </right>
      <top style="thin">
        <color indexed="62"/>
      </top>
      <bottom/>
      <diagonal/>
    </border>
    <border>
      <left style="thin">
        <color indexed="62"/>
      </left>
      <right style="thin">
        <color indexed="62"/>
      </right>
      <top style="medium">
        <color indexed="62"/>
      </top>
      <bottom/>
      <diagonal/>
    </border>
    <border>
      <left/>
      <right/>
      <top style="thin">
        <color indexed="62"/>
      </top>
      <bottom style="thin">
        <color indexed="18"/>
      </bottom>
      <diagonal/>
    </border>
    <border>
      <left/>
      <right/>
      <top style="thin">
        <color indexed="18"/>
      </top>
      <bottom style="thin">
        <color indexed="18"/>
      </bottom>
      <diagonal/>
    </border>
    <border>
      <left style="medium">
        <color indexed="62"/>
      </left>
      <right style="thin">
        <color indexed="62"/>
      </right>
      <top style="thin">
        <color indexed="62"/>
      </top>
      <bottom/>
      <diagonal/>
    </border>
    <border>
      <left/>
      <right style="thin">
        <color indexed="62"/>
      </right>
      <top style="thin">
        <color indexed="62"/>
      </top>
      <bottom/>
      <diagonal/>
    </border>
    <border>
      <left style="medium">
        <color indexed="62"/>
      </left>
      <right style="thin">
        <color indexed="62"/>
      </right>
      <top/>
      <bottom/>
      <diagonal/>
    </border>
    <border>
      <left style="medium">
        <color indexed="62"/>
      </left>
      <right style="thin">
        <color indexed="62"/>
      </right>
      <top/>
      <bottom style="thin">
        <color indexed="62"/>
      </bottom>
      <diagonal/>
    </border>
    <border>
      <left/>
      <right style="medium">
        <color indexed="62"/>
      </right>
      <top/>
      <bottom style="thin">
        <color indexed="18"/>
      </bottom>
      <diagonal/>
    </border>
    <border>
      <left style="medium">
        <color indexed="62"/>
      </left>
      <right/>
      <top/>
      <bottom style="thin">
        <color indexed="18"/>
      </bottom>
      <diagonal/>
    </border>
    <border>
      <left/>
      <right/>
      <top/>
      <bottom style="thin">
        <color indexed="18"/>
      </bottom>
      <diagonal/>
    </border>
    <border>
      <left/>
      <right style="thin">
        <color indexed="62"/>
      </right>
      <top/>
      <bottom style="thin">
        <color indexed="18"/>
      </bottom>
      <diagonal/>
    </border>
    <border>
      <left style="thin">
        <color indexed="62"/>
      </left>
      <right style="thin">
        <color indexed="62"/>
      </right>
      <top/>
      <bottom style="thin">
        <color indexed="18"/>
      </bottom>
      <diagonal/>
    </border>
    <border>
      <left style="medium">
        <color indexed="62"/>
      </left>
      <right/>
      <top style="thin">
        <color indexed="18"/>
      </top>
      <bottom/>
      <diagonal/>
    </border>
    <border>
      <left/>
      <right/>
      <top style="thin">
        <color indexed="18"/>
      </top>
      <bottom/>
      <diagonal/>
    </border>
    <border>
      <left/>
      <right style="thin">
        <color indexed="62"/>
      </right>
      <top style="thin">
        <color indexed="18"/>
      </top>
      <bottom/>
      <diagonal/>
    </border>
    <border>
      <left style="thin">
        <color indexed="62"/>
      </left>
      <right style="thin">
        <color indexed="62"/>
      </right>
      <top style="thin">
        <color indexed="18"/>
      </top>
      <bottom style="thin">
        <color indexed="62"/>
      </bottom>
      <diagonal/>
    </border>
    <border>
      <left style="thin">
        <color indexed="62"/>
      </left>
      <right style="thin">
        <color indexed="62"/>
      </right>
      <top/>
      <bottom style="thin">
        <color indexed="62"/>
      </bottom>
      <diagonal/>
    </border>
    <border>
      <left style="thin">
        <color indexed="62"/>
      </left>
      <right/>
      <top style="thin">
        <color indexed="62"/>
      </top>
      <bottom/>
      <diagonal/>
    </border>
    <border>
      <left style="thin">
        <color indexed="62"/>
      </left>
      <right style="medium">
        <color indexed="62"/>
      </right>
      <top/>
      <bottom style="thin">
        <color indexed="62"/>
      </bottom>
      <diagonal/>
    </border>
    <border>
      <left style="thin">
        <color indexed="62"/>
      </left>
      <right/>
      <top/>
      <bottom style="thin">
        <color indexed="62"/>
      </bottom>
      <diagonal/>
    </border>
    <border>
      <left/>
      <right style="thin">
        <color indexed="62"/>
      </right>
      <top/>
      <bottom style="medium">
        <color indexed="62"/>
      </bottom>
      <diagonal/>
    </border>
    <border>
      <left style="medium">
        <color indexed="62"/>
      </left>
      <right style="thin">
        <color indexed="62"/>
      </right>
      <top/>
      <bottom style="thin">
        <color indexed="18"/>
      </bottom>
      <diagonal/>
    </border>
    <border>
      <left style="medium">
        <color indexed="62"/>
      </left>
      <right style="thin">
        <color indexed="62"/>
      </right>
      <top style="thin">
        <color indexed="18"/>
      </top>
      <bottom style="thin">
        <color indexed="18"/>
      </bottom>
      <diagonal/>
    </border>
    <border>
      <left style="thin">
        <color indexed="62"/>
      </left>
      <right style="thin">
        <color indexed="62"/>
      </right>
      <top style="thin">
        <color indexed="18"/>
      </top>
      <bottom style="medium">
        <color indexed="62"/>
      </bottom>
      <diagonal/>
    </border>
    <border>
      <left style="thin">
        <color indexed="62"/>
      </left>
      <right style="medium">
        <color indexed="62"/>
      </right>
      <top style="thin">
        <color indexed="18"/>
      </top>
      <bottom style="thin">
        <color indexed="18"/>
      </bottom>
      <diagonal/>
    </border>
    <border>
      <left style="thin">
        <color indexed="62"/>
      </left>
      <right style="medium">
        <color indexed="62"/>
      </right>
      <top style="thin">
        <color indexed="18"/>
      </top>
      <bottom style="medium">
        <color indexed="62"/>
      </bottom>
      <diagonal/>
    </border>
    <border>
      <left style="thin">
        <color indexed="62"/>
      </left>
      <right style="medium">
        <color indexed="62"/>
      </right>
      <top/>
      <bottom style="thin">
        <color indexed="18"/>
      </bottom>
      <diagonal/>
    </border>
    <border>
      <left style="thin">
        <color indexed="62"/>
      </left>
      <right style="medium">
        <color indexed="62"/>
      </right>
      <top style="thin">
        <color indexed="62"/>
      </top>
      <bottom/>
      <diagonal/>
    </border>
    <border>
      <left style="thin">
        <color indexed="62"/>
      </left>
      <right style="medium">
        <color indexed="62"/>
      </right>
      <top style="thin">
        <color indexed="62"/>
      </top>
      <bottom style="thin">
        <color indexed="18"/>
      </bottom>
      <diagonal/>
    </border>
    <border>
      <left style="thin">
        <color indexed="62"/>
      </left>
      <right style="medium">
        <color indexed="62"/>
      </right>
      <top/>
      <bottom style="medium">
        <color indexed="62"/>
      </bottom>
      <diagonal/>
    </border>
    <border>
      <left style="thin">
        <color indexed="62"/>
      </left>
      <right style="medium">
        <color indexed="62"/>
      </right>
      <top style="thin">
        <color indexed="18"/>
      </top>
      <bottom style="thin">
        <color indexed="62"/>
      </bottom>
      <diagonal/>
    </border>
    <border>
      <left style="thin">
        <color indexed="62"/>
      </left>
      <right style="medium">
        <color indexed="62"/>
      </right>
      <top/>
      <bottom/>
      <diagonal/>
    </border>
    <border>
      <left/>
      <right style="medium">
        <color indexed="62"/>
      </right>
      <top style="thin">
        <color indexed="18"/>
      </top>
      <bottom style="medium">
        <color indexed="62"/>
      </bottom>
      <diagonal/>
    </border>
    <border>
      <left style="medium">
        <color indexed="62"/>
      </left>
      <right/>
      <top style="thin">
        <color indexed="18"/>
      </top>
      <bottom style="medium">
        <color indexed="62"/>
      </bottom>
      <diagonal/>
    </border>
    <border>
      <left/>
      <right/>
      <top style="thin">
        <color indexed="18"/>
      </top>
      <bottom style="medium">
        <color indexed="62"/>
      </bottom>
      <diagonal/>
    </border>
    <border>
      <left/>
      <right style="thin">
        <color indexed="62"/>
      </right>
      <top style="thin">
        <color indexed="18"/>
      </top>
      <bottom style="medium">
        <color indexed="62"/>
      </bottom>
      <diagonal/>
    </border>
    <border>
      <left style="thin">
        <color indexed="62"/>
      </left>
      <right/>
      <top/>
      <bottom/>
      <diagonal/>
    </border>
    <border>
      <left style="thin">
        <color indexed="62"/>
      </left>
      <right style="thin">
        <color indexed="62"/>
      </right>
      <top style="medium">
        <color indexed="62"/>
      </top>
      <bottom style="thin">
        <color indexed="62"/>
      </bottom>
      <diagonal/>
    </border>
    <border>
      <left/>
      <right/>
      <top style="thin">
        <color indexed="18"/>
      </top>
      <bottom style="thin">
        <color indexed="62"/>
      </bottom>
      <diagonal/>
    </border>
    <border>
      <left/>
      <right style="thin">
        <color indexed="62"/>
      </right>
      <top style="thin">
        <color indexed="18"/>
      </top>
      <bottom style="thin">
        <color indexed="62"/>
      </bottom>
      <diagonal/>
    </border>
    <border>
      <left style="thin">
        <color indexed="62"/>
      </left>
      <right/>
      <top/>
      <bottom style="thin">
        <color indexed="18"/>
      </bottom>
      <diagonal/>
    </border>
    <border>
      <left/>
      <right style="medium">
        <color indexed="62"/>
      </right>
      <top/>
      <bottom style="medium">
        <color indexed="62"/>
      </bottom>
      <diagonal/>
    </border>
    <border>
      <left style="thin">
        <color indexed="62"/>
      </left>
      <right/>
      <top style="medium">
        <color indexed="62"/>
      </top>
      <bottom/>
      <diagonal/>
    </border>
    <border>
      <left style="thin">
        <color indexed="62"/>
      </left>
      <right style="medium">
        <color indexed="62"/>
      </right>
      <top style="thin">
        <color indexed="18"/>
      </top>
      <bottom/>
      <diagonal/>
    </border>
    <border>
      <left style="thin">
        <color indexed="62"/>
      </left>
      <right style="thin">
        <color indexed="62"/>
      </right>
      <top style="thin">
        <color theme="2"/>
      </top>
      <bottom style="thin">
        <color indexed="62"/>
      </bottom>
      <diagonal/>
    </border>
    <border>
      <left style="thin">
        <color indexed="62"/>
      </left>
      <right style="medium">
        <color indexed="62"/>
      </right>
      <top style="thin">
        <color theme="2"/>
      </top>
      <bottom style="thin">
        <color indexed="62"/>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indexed="64"/>
      </left>
      <right/>
      <top/>
      <bottom/>
      <diagonal/>
    </border>
    <border>
      <left style="thin">
        <color theme="0" tint="-0.499984740745262"/>
      </left>
      <right/>
      <top/>
      <bottom/>
      <diagonal/>
    </border>
    <border>
      <left/>
      <right style="thin">
        <color indexed="64"/>
      </right>
      <top/>
      <bottom style="thin">
        <color indexed="64"/>
      </bottom>
      <diagonal/>
    </border>
    <border>
      <left/>
      <right/>
      <top/>
      <bottom style="thin">
        <color indexed="64"/>
      </bottom>
      <diagonal/>
    </border>
    <border>
      <left style="thin">
        <color indexed="62"/>
      </left>
      <right/>
      <top style="thin">
        <color indexed="18"/>
      </top>
      <bottom style="thin">
        <color indexed="62"/>
      </bottom>
      <diagonal/>
    </border>
    <border>
      <left style="thin">
        <color indexed="62"/>
      </left>
      <right/>
      <top style="thin">
        <color indexed="18"/>
      </top>
      <bottom style="medium">
        <color indexed="62"/>
      </bottom>
      <diagonal/>
    </border>
    <border>
      <left style="thin">
        <color indexed="62"/>
      </left>
      <right style="medium">
        <color indexed="62"/>
      </right>
      <top style="medium">
        <color indexed="62"/>
      </top>
      <bottom/>
      <diagonal/>
    </border>
    <border>
      <left style="thin">
        <color indexed="62"/>
      </left>
      <right style="thin">
        <color indexed="62"/>
      </right>
      <top style="thin">
        <color indexed="18"/>
      </top>
      <bottom style="thin">
        <color rgb="FFB4A76C"/>
      </bottom>
      <diagonal/>
    </border>
    <border>
      <left style="thin">
        <color indexed="62"/>
      </left>
      <right style="medium">
        <color indexed="62"/>
      </right>
      <top style="thin">
        <color indexed="18"/>
      </top>
      <bottom style="thin">
        <color rgb="FFB4A76C"/>
      </bottom>
      <diagonal/>
    </border>
    <border>
      <left style="medium">
        <color indexed="62"/>
      </left>
      <right/>
      <top style="thin">
        <color indexed="18"/>
      </top>
      <bottom style="thin">
        <color rgb="FFB4A76C"/>
      </bottom>
      <diagonal/>
    </border>
    <border>
      <left/>
      <right/>
      <top style="thin">
        <color indexed="18"/>
      </top>
      <bottom style="thin">
        <color rgb="FFB4A76C"/>
      </bottom>
      <diagonal/>
    </border>
    <border>
      <left/>
      <right style="thin">
        <color indexed="62"/>
      </right>
      <top style="thin">
        <color indexed="18"/>
      </top>
      <bottom style="thin">
        <color rgb="FFB4A76C"/>
      </bottom>
      <diagonal/>
    </border>
    <border>
      <left/>
      <right style="medium">
        <color indexed="62"/>
      </right>
      <top style="thin">
        <color indexed="18"/>
      </top>
      <bottom style="thin">
        <color rgb="FFB4A76C"/>
      </bottom>
      <diagonal/>
    </border>
    <border>
      <left style="medium">
        <color indexed="62"/>
      </left>
      <right/>
      <top/>
      <bottom style="thin">
        <color rgb="FFB4A76C"/>
      </bottom>
      <diagonal/>
    </border>
    <border>
      <left/>
      <right/>
      <top/>
      <bottom style="thin">
        <color rgb="FFB4A76C"/>
      </bottom>
      <diagonal/>
    </border>
    <border>
      <left/>
      <right style="thin">
        <color indexed="62"/>
      </right>
      <top/>
      <bottom style="thin">
        <color rgb="FFB4A76C"/>
      </bottom>
      <diagonal/>
    </border>
    <border>
      <left style="thin">
        <color indexed="62"/>
      </left>
      <right style="thin">
        <color indexed="62"/>
      </right>
      <top/>
      <bottom style="thin">
        <color rgb="FFB4A76C"/>
      </bottom>
      <diagonal/>
    </border>
    <border>
      <left/>
      <right style="medium">
        <color indexed="62"/>
      </right>
      <top/>
      <bottom style="thin">
        <color rgb="FFB4A76C"/>
      </bottom>
      <diagonal/>
    </border>
    <border>
      <left/>
      <right/>
      <top style="thin">
        <color rgb="FFB4A76C"/>
      </top>
      <bottom style="thin">
        <color rgb="FFE7E2CF"/>
      </bottom>
      <diagonal/>
    </border>
    <border>
      <left/>
      <right style="thin">
        <color indexed="62"/>
      </right>
      <top style="thin">
        <color rgb="FFB4A76C"/>
      </top>
      <bottom style="thin">
        <color rgb="FFE7E2CF"/>
      </bottom>
      <diagonal/>
    </border>
    <border>
      <left style="thin">
        <color indexed="62"/>
      </left>
      <right style="thin">
        <color indexed="62"/>
      </right>
      <top style="thin">
        <color rgb="FFB4A76C"/>
      </top>
      <bottom style="thin">
        <color rgb="FFE7E2CF"/>
      </bottom>
      <diagonal/>
    </border>
    <border>
      <left style="thin">
        <color indexed="62"/>
      </left>
      <right style="medium">
        <color rgb="FFB4A76C"/>
      </right>
      <top style="medium">
        <color indexed="62"/>
      </top>
      <bottom/>
      <diagonal/>
    </border>
    <border>
      <left style="thin">
        <color indexed="62"/>
      </left>
      <right style="medium">
        <color rgb="FFB4A76C"/>
      </right>
      <top/>
      <bottom style="thin">
        <color indexed="62"/>
      </bottom>
      <diagonal/>
    </border>
    <border>
      <left style="thin">
        <color indexed="62"/>
      </left>
      <right style="medium">
        <color rgb="FFB4A76C"/>
      </right>
      <top style="thin">
        <color indexed="18"/>
      </top>
      <bottom style="thin">
        <color indexed="18"/>
      </bottom>
      <diagonal/>
    </border>
    <border>
      <left style="medium">
        <color rgb="FFB4A76C"/>
      </left>
      <right/>
      <top/>
      <bottom/>
      <diagonal/>
    </border>
    <border>
      <left style="thin">
        <color indexed="62"/>
      </left>
      <right/>
      <top style="thin">
        <color indexed="18"/>
      </top>
      <bottom style="thin">
        <color indexed="18"/>
      </bottom>
      <diagonal/>
    </border>
    <border>
      <left style="thin">
        <color indexed="62"/>
      </left>
      <right style="medium">
        <color rgb="FFB4A76C"/>
      </right>
      <top style="medium">
        <color indexed="62"/>
      </top>
      <bottom style="thin">
        <color indexed="62"/>
      </bottom>
      <diagonal/>
    </border>
    <border>
      <left/>
      <right style="thin">
        <color rgb="FFB4A76C"/>
      </right>
      <top style="thin">
        <color indexed="18"/>
      </top>
      <bottom style="thin">
        <color indexed="62"/>
      </bottom>
      <diagonal/>
    </border>
    <border>
      <left style="medium">
        <color indexed="62"/>
      </left>
      <right style="thin">
        <color rgb="FFB4A76C"/>
      </right>
      <top style="thin">
        <color indexed="18"/>
      </top>
      <bottom style="thin">
        <color indexed="62"/>
      </bottom>
      <diagonal/>
    </border>
    <border>
      <left style="thin">
        <color rgb="FFB4A76C"/>
      </left>
      <right style="thin">
        <color rgb="FFB4A76C"/>
      </right>
      <top style="thin">
        <color indexed="18"/>
      </top>
      <bottom style="thin">
        <color indexed="62"/>
      </bottom>
      <diagonal/>
    </border>
    <border>
      <left style="thin">
        <color rgb="FFB4A76C"/>
      </left>
      <right style="thin">
        <color rgb="FFB4A76C"/>
      </right>
      <top style="thin">
        <color indexed="18"/>
      </top>
      <bottom style="thin">
        <color rgb="FFB4A76C"/>
      </bottom>
      <diagonal/>
    </border>
  </borders>
  <cellStyleXfs count="9">
    <xf numFmtId="0" fontId="0" fillId="0" borderId="0"/>
    <xf numFmtId="0" fontId="31" fillId="0" borderId="0"/>
    <xf numFmtId="0" fontId="56" fillId="0" borderId="0"/>
    <xf numFmtId="0" fontId="70" fillId="0" borderId="0"/>
    <xf numFmtId="43" fontId="73" fillId="0" borderId="0" applyFont="0" applyFill="0" applyBorder="0" applyAlignment="0" applyProtection="0"/>
    <xf numFmtId="0" fontId="74" fillId="0" borderId="0"/>
    <xf numFmtId="0" fontId="38" fillId="0" borderId="0"/>
    <xf numFmtId="0" fontId="38" fillId="0" borderId="0"/>
    <xf numFmtId="0" fontId="74" fillId="0" borderId="0"/>
  </cellStyleXfs>
  <cellXfs count="773">
    <xf numFmtId="0" fontId="0" fillId="0" borderId="0" xfId="0"/>
    <xf numFmtId="3" fontId="1" fillId="2" borderId="0" xfId="0" applyNumberFormat="1" applyFont="1" applyFill="1" applyAlignment="1" applyProtection="1">
      <alignment horizontal="center"/>
      <protection locked="0"/>
    </xf>
    <xf numFmtId="3" fontId="1" fillId="2" borderId="0" xfId="0" applyNumberFormat="1" applyFont="1" applyFill="1" applyAlignment="1" applyProtection="1">
      <protection locked="0"/>
    </xf>
    <xf numFmtId="0" fontId="3" fillId="2" borderId="0" xfId="0" applyNumberFormat="1" applyFont="1" applyFill="1" applyAlignment="1" applyProtection="1">
      <protection locked="0"/>
    </xf>
    <xf numFmtId="3" fontId="3" fillId="2" borderId="0" xfId="0" applyNumberFormat="1" applyFont="1" applyFill="1" applyAlignment="1" applyProtection="1">
      <protection locked="0"/>
    </xf>
    <xf numFmtId="164" fontId="1" fillId="2" borderId="0" xfId="0" applyNumberFormat="1" applyFont="1" applyFill="1" applyAlignment="1" applyProtection="1">
      <protection hidden="1"/>
    </xf>
    <xf numFmtId="164" fontId="1" fillId="2" borderId="0" xfId="0" applyNumberFormat="1" applyFont="1" applyFill="1" applyAlignment="1" applyProtection="1">
      <alignment horizontal="right"/>
      <protection hidden="1"/>
    </xf>
    <xf numFmtId="0" fontId="1" fillId="2" borderId="0" xfId="0" applyNumberFormat="1" applyFont="1" applyFill="1" applyAlignment="1"/>
    <xf numFmtId="3" fontId="1" fillId="2" borderId="0" xfId="0" applyNumberFormat="1" applyFont="1" applyFill="1" applyBorder="1" applyAlignment="1" applyProtection="1">
      <protection locked="0"/>
    </xf>
    <xf numFmtId="0" fontId="1" fillId="2" borderId="0" xfId="0" applyNumberFormat="1" applyFont="1" applyFill="1" applyBorder="1" applyProtection="1">
      <protection locked="0"/>
    </xf>
    <xf numFmtId="0" fontId="7" fillId="0" borderId="0" xfId="0" applyFont="1"/>
    <xf numFmtId="0" fontId="7" fillId="0" borderId="0" xfId="0" applyFont="1" applyBorder="1"/>
    <xf numFmtId="0" fontId="13" fillId="0" borderId="0" xfId="0" applyFont="1"/>
    <xf numFmtId="3" fontId="4" fillId="0" borderId="0" xfId="0" applyNumberFormat="1" applyFont="1" applyAlignment="1"/>
    <xf numFmtId="1" fontId="4" fillId="2" borderId="1" xfId="0" applyNumberFormat="1" applyFont="1" applyFill="1" applyBorder="1" applyAlignment="1" applyProtection="1">
      <alignment horizontal="right" vertical="center"/>
      <protection locked="0"/>
    </xf>
    <xf numFmtId="3" fontId="5" fillId="2" borderId="2" xfId="0" applyNumberFormat="1" applyFont="1" applyFill="1" applyBorder="1" applyAlignment="1" applyProtection="1">
      <alignment horizontal="right" vertical="center"/>
      <protection locked="0"/>
    </xf>
    <xf numFmtId="3" fontId="5" fillId="2" borderId="3" xfId="0" applyNumberFormat="1" applyFont="1" applyFill="1" applyBorder="1" applyAlignment="1" applyProtection="1">
      <alignment horizontal="right" vertical="center"/>
      <protection locked="0"/>
    </xf>
    <xf numFmtId="3" fontId="5" fillId="2" borderId="4" xfId="0" applyNumberFormat="1" applyFont="1" applyFill="1" applyBorder="1" applyAlignment="1" applyProtection="1">
      <alignment vertical="center"/>
      <protection locked="0"/>
    </xf>
    <xf numFmtId="3" fontId="4" fillId="2" borderId="5" xfId="0" applyNumberFormat="1" applyFont="1" applyFill="1" applyBorder="1" applyAlignment="1" applyProtection="1">
      <alignment vertical="center"/>
      <protection locked="0"/>
    </xf>
    <xf numFmtId="3" fontId="10" fillId="2" borderId="6" xfId="0" applyNumberFormat="1" applyFont="1" applyFill="1" applyBorder="1" applyAlignment="1" applyProtection="1">
      <alignment vertical="center"/>
      <protection locked="0"/>
    </xf>
    <xf numFmtId="3" fontId="4" fillId="2" borderId="7" xfId="0" applyNumberFormat="1" applyFont="1" applyFill="1" applyBorder="1" applyAlignment="1" applyProtection="1">
      <alignment vertical="center"/>
      <protection locked="0"/>
    </xf>
    <xf numFmtId="3" fontId="4" fillId="2" borderId="7" xfId="0" applyNumberFormat="1" applyFont="1" applyFill="1" applyBorder="1" applyAlignment="1">
      <alignment vertical="center"/>
    </xf>
    <xf numFmtId="3" fontId="4" fillId="2" borderId="6" xfId="0" applyNumberFormat="1" applyFont="1" applyFill="1" applyBorder="1" applyAlignment="1" applyProtection="1">
      <alignment vertical="center"/>
      <protection locked="0"/>
    </xf>
    <xf numFmtId="3" fontId="4" fillId="2" borderId="8" xfId="0" applyNumberFormat="1" applyFont="1" applyFill="1" applyBorder="1" applyAlignment="1" applyProtection="1">
      <alignment horizontal="right" vertical="center"/>
      <protection locked="0"/>
    </xf>
    <xf numFmtId="3" fontId="4" fillId="2" borderId="9" xfId="0" applyNumberFormat="1" applyFont="1" applyFill="1" applyBorder="1" applyAlignment="1" applyProtection="1">
      <alignment vertical="center"/>
      <protection locked="0"/>
    </xf>
    <xf numFmtId="3" fontId="10" fillId="2" borderId="10" xfId="0" applyNumberFormat="1" applyFont="1" applyFill="1" applyBorder="1" applyAlignment="1" applyProtection="1">
      <alignment vertical="center"/>
      <protection locked="0"/>
    </xf>
    <xf numFmtId="3" fontId="4" fillId="2" borderId="11" xfId="0" applyNumberFormat="1" applyFont="1" applyFill="1" applyBorder="1" applyAlignment="1" applyProtection="1">
      <alignment vertical="center"/>
      <protection locked="0"/>
    </xf>
    <xf numFmtId="3" fontId="4" fillId="2" borderId="11" xfId="0" applyNumberFormat="1" applyFont="1" applyFill="1" applyBorder="1" applyAlignment="1">
      <alignment vertical="center"/>
    </xf>
    <xf numFmtId="3" fontId="4" fillId="2" borderId="10" xfId="0" applyNumberFormat="1" applyFont="1" applyFill="1" applyBorder="1" applyAlignment="1" applyProtection="1">
      <alignment vertical="center"/>
      <protection locked="0"/>
    </xf>
    <xf numFmtId="3" fontId="4" fillId="2" borderId="12" xfId="0" applyNumberFormat="1" applyFont="1" applyFill="1" applyBorder="1" applyAlignment="1" applyProtection="1">
      <alignment horizontal="right" vertical="center"/>
      <protection locked="0"/>
    </xf>
    <xf numFmtId="3" fontId="4" fillId="2" borderId="13" xfId="0" applyNumberFormat="1" applyFont="1" applyFill="1" applyBorder="1" applyAlignment="1" applyProtection="1">
      <alignment vertical="center"/>
      <protection locked="0"/>
    </xf>
    <xf numFmtId="3" fontId="10" fillId="2" borderId="14" xfId="0" applyNumberFormat="1" applyFont="1" applyFill="1" applyBorder="1" applyAlignment="1" applyProtection="1">
      <alignment vertical="center"/>
      <protection locked="0"/>
    </xf>
    <xf numFmtId="3" fontId="4" fillId="2" borderId="15" xfId="0" applyNumberFormat="1" applyFont="1" applyFill="1" applyBorder="1" applyAlignment="1" applyProtection="1">
      <alignment vertical="center"/>
      <protection locked="0"/>
    </xf>
    <xf numFmtId="3" fontId="4" fillId="2" borderId="15" xfId="0" applyNumberFormat="1" applyFont="1" applyFill="1" applyBorder="1" applyAlignment="1">
      <alignment vertical="center"/>
    </xf>
    <xf numFmtId="3" fontId="4" fillId="2" borderId="14" xfId="0" applyNumberFormat="1" applyFont="1" applyFill="1" applyBorder="1" applyAlignment="1" applyProtection="1">
      <alignment vertical="center"/>
      <protection locked="0"/>
    </xf>
    <xf numFmtId="3" fontId="4" fillId="2" borderId="16" xfId="0" applyNumberFormat="1" applyFont="1" applyFill="1" applyBorder="1" applyAlignment="1" applyProtection="1">
      <alignment horizontal="right" vertical="center"/>
      <protection locked="0"/>
    </xf>
    <xf numFmtId="3" fontId="5" fillId="2" borderId="17" xfId="0" applyNumberFormat="1" applyFont="1" applyFill="1" applyBorder="1" applyAlignment="1" applyProtection="1">
      <alignment vertical="center"/>
      <protection locked="0"/>
    </xf>
    <xf numFmtId="3" fontId="2" fillId="2" borderId="2" xfId="0" applyNumberFormat="1" applyFont="1" applyFill="1" applyBorder="1" applyAlignment="1" applyProtection="1">
      <alignment vertical="center"/>
      <protection locked="0"/>
    </xf>
    <xf numFmtId="3" fontId="5" fillId="2" borderId="1" xfId="0" applyNumberFormat="1" applyFont="1" applyFill="1" applyBorder="1" applyAlignment="1" applyProtection="1">
      <alignment vertical="center"/>
      <protection locked="0"/>
    </xf>
    <xf numFmtId="3" fontId="5" fillId="2" borderId="2" xfId="0" applyNumberFormat="1" applyFont="1" applyFill="1" applyBorder="1" applyAlignment="1" applyProtection="1">
      <alignment vertical="center"/>
      <protection locked="0"/>
    </xf>
    <xf numFmtId="3" fontId="4" fillId="2" borderId="7" xfId="0" applyNumberFormat="1" applyFont="1" applyFill="1" applyBorder="1" applyAlignment="1" applyProtection="1">
      <alignment horizontal="right" vertical="center"/>
      <protection locked="0"/>
    </xf>
    <xf numFmtId="3" fontId="4" fillId="2" borderId="11" xfId="0" applyNumberFormat="1" applyFont="1" applyFill="1" applyBorder="1" applyAlignment="1" applyProtection="1">
      <alignment horizontal="right" vertical="center"/>
      <protection locked="0"/>
    </xf>
    <xf numFmtId="0" fontId="4" fillId="2" borderId="11" xfId="0" applyNumberFormat="1" applyFont="1" applyFill="1" applyBorder="1" applyAlignment="1" applyProtection="1">
      <alignment vertical="center"/>
      <protection locked="0"/>
    </xf>
    <xf numFmtId="3" fontId="4" fillId="2" borderId="15" xfId="0" applyNumberFormat="1" applyFont="1" applyFill="1" applyBorder="1" applyAlignment="1" applyProtection="1">
      <alignment horizontal="right" vertical="center"/>
      <protection locked="0"/>
    </xf>
    <xf numFmtId="3" fontId="5" fillId="2" borderId="18" xfId="0" applyNumberFormat="1" applyFont="1" applyFill="1" applyBorder="1" applyAlignment="1" applyProtection="1">
      <alignment vertical="center"/>
      <protection locked="0"/>
    </xf>
    <xf numFmtId="3" fontId="5" fillId="2" borderId="19" xfId="0" applyNumberFormat="1" applyFont="1" applyFill="1" applyBorder="1" applyAlignment="1" applyProtection="1">
      <alignment vertical="center"/>
      <protection locked="0"/>
    </xf>
    <xf numFmtId="3" fontId="5" fillId="2" borderId="19" xfId="0" applyNumberFormat="1" applyFont="1" applyFill="1" applyBorder="1" applyAlignment="1" applyProtection="1">
      <alignment horizontal="right" vertical="center"/>
      <protection locked="0"/>
    </xf>
    <xf numFmtId="3" fontId="5" fillId="2" borderId="20" xfId="0" applyNumberFormat="1" applyFont="1" applyFill="1" applyBorder="1" applyAlignment="1" applyProtection="1">
      <alignment horizontal="right" vertical="center"/>
      <protection locked="0"/>
    </xf>
    <xf numFmtId="3" fontId="5" fillId="2" borderId="13" xfId="0" applyNumberFormat="1" applyFont="1" applyFill="1" applyBorder="1" applyAlignment="1" applyProtection="1">
      <alignment vertical="center"/>
      <protection locked="0"/>
    </xf>
    <xf numFmtId="3" fontId="9" fillId="2" borderId="13" xfId="0" applyNumberFormat="1" applyFont="1" applyFill="1" applyBorder="1" applyAlignment="1" applyProtection="1">
      <alignment vertical="center"/>
      <protection locked="0"/>
    </xf>
    <xf numFmtId="3" fontId="1" fillId="2" borderId="13" xfId="0" applyNumberFormat="1" applyFont="1" applyFill="1" applyBorder="1" applyAlignment="1" applyProtection="1">
      <alignment vertical="center"/>
      <protection locked="0"/>
    </xf>
    <xf numFmtId="3" fontId="9" fillId="2" borderId="21" xfId="0" applyNumberFormat="1" applyFont="1" applyFill="1" applyBorder="1" applyAlignment="1" applyProtection="1">
      <alignment vertical="center"/>
      <protection locked="0"/>
    </xf>
    <xf numFmtId="3" fontId="3" fillId="2" borderId="0" xfId="0" applyNumberFormat="1" applyFont="1" applyFill="1" applyBorder="1" applyAlignment="1" applyProtection="1">
      <alignment vertical="center"/>
      <protection locked="0"/>
    </xf>
    <xf numFmtId="0" fontId="6" fillId="2" borderId="0" xfId="0" applyNumberFormat="1" applyFont="1" applyFill="1" applyAlignment="1" applyProtection="1">
      <alignment vertical="center"/>
      <protection locked="0"/>
    </xf>
    <xf numFmtId="0" fontId="8" fillId="2" borderId="0" xfId="0" applyNumberFormat="1" applyFont="1" applyFill="1" applyAlignment="1" applyProtection="1">
      <alignment vertical="center"/>
      <protection locked="0"/>
    </xf>
    <xf numFmtId="3" fontId="1" fillId="2" borderId="22" xfId="0" applyNumberFormat="1" applyFont="1" applyFill="1" applyBorder="1" applyAlignment="1" applyProtection="1">
      <alignment vertical="center"/>
      <protection locked="0"/>
    </xf>
    <xf numFmtId="3" fontId="1" fillId="2" borderId="14" xfId="0" applyNumberFormat="1" applyFont="1" applyFill="1" applyBorder="1" applyAlignment="1" applyProtection="1">
      <alignment vertical="center"/>
      <protection locked="0"/>
    </xf>
    <xf numFmtId="3" fontId="1" fillId="2" borderId="23" xfId="0" applyNumberFormat="1" applyFont="1" applyFill="1" applyBorder="1" applyAlignment="1" applyProtection="1">
      <alignment vertical="center"/>
      <protection locked="0"/>
    </xf>
    <xf numFmtId="3" fontId="5" fillId="2" borderId="1" xfId="0" applyNumberFormat="1" applyFont="1" applyFill="1" applyBorder="1" applyAlignment="1" applyProtection="1">
      <alignment horizontal="right" vertical="center"/>
      <protection locked="0"/>
    </xf>
    <xf numFmtId="3" fontId="4" fillId="3" borderId="15" xfId="0" applyNumberFormat="1" applyFont="1" applyFill="1" applyBorder="1" applyAlignment="1" applyProtection="1">
      <alignment vertical="center"/>
      <protection locked="0"/>
    </xf>
    <xf numFmtId="3" fontId="5" fillId="3" borderId="1" xfId="0" applyNumberFormat="1" applyFont="1" applyFill="1" applyBorder="1" applyAlignment="1" applyProtection="1">
      <alignment vertical="center"/>
      <protection locked="0"/>
    </xf>
    <xf numFmtId="3" fontId="5" fillId="2" borderId="24" xfId="0" applyNumberFormat="1" applyFont="1" applyFill="1" applyBorder="1" applyAlignment="1" applyProtection="1">
      <alignment vertical="center"/>
      <protection locked="0"/>
    </xf>
    <xf numFmtId="3" fontId="4" fillId="2" borderId="24" xfId="0" applyNumberFormat="1" applyFont="1" applyFill="1" applyBorder="1" applyAlignment="1" applyProtection="1">
      <alignment vertical="center"/>
      <protection locked="0"/>
    </xf>
    <xf numFmtId="3" fontId="4" fillId="2" borderId="0" xfId="0" applyNumberFormat="1" applyFont="1" applyFill="1" applyBorder="1" applyAlignment="1" applyProtection="1">
      <alignment vertical="center"/>
      <protection locked="0"/>
    </xf>
    <xf numFmtId="3" fontId="4" fillId="2" borderId="0" xfId="0" applyNumberFormat="1" applyFont="1" applyFill="1" applyBorder="1" applyAlignment="1" applyProtection="1">
      <alignment horizontal="right" vertical="center"/>
      <protection locked="0"/>
    </xf>
    <xf numFmtId="3" fontId="4" fillId="3" borderId="0" xfId="0" applyNumberFormat="1" applyFont="1" applyFill="1" applyBorder="1" applyAlignment="1" applyProtection="1">
      <alignment vertical="center"/>
      <protection locked="0"/>
    </xf>
    <xf numFmtId="3" fontId="5" fillId="2" borderId="25" xfId="0" applyNumberFormat="1" applyFont="1" applyFill="1" applyBorder="1" applyAlignment="1" applyProtection="1">
      <alignment vertical="center"/>
      <protection locked="0"/>
    </xf>
    <xf numFmtId="3" fontId="4" fillId="2" borderId="25" xfId="0" applyNumberFormat="1" applyFont="1" applyFill="1" applyBorder="1" applyAlignment="1" applyProtection="1">
      <alignment vertical="center"/>
      <protection locked="0"/>
    </xf>
    <xf numFmtId="3" fontId="4" fillId="2" borderId="25" xfId="0" applyNumberFormat="1" applyFont="1" applyFill="1" applyBorder="1" applyAlignment="1" applyProtection="1">
      <alignment horizontal="right" vertical="center"/>
      <protection locked="0"/>
    </xf>
    <xf numFmtId="3" fontId="4" fillId="3" borderId="25" xfId="0" applyNumberFormat="1" applyFont="1" applyFill="1" applyBorder="1" applyAlignment="1" applyProtection="1">
      <alignment vertical="center"/>
      <protection locked="0"/>
    </xf>
    <xf numFmtId="3" fontId="4" fillId="2" borderId="26" xfId="0" applyNumberFormat="1" applyFont="1" applyFill="1" applyBorder="1" applyAlignment="1" applyProtection="1">
      <alignment horizontal="right" vertical="center"/>
      <protection locked="0"/>
    </xf>
    <xf numFmtId="3" fontId="5" fillId="3" borderId="19" xfId="0" applyNumberFormat="1" applyFont="1" applyFill="1" applyBorder="1" applyAlignment="1" applyProtection="1">
      <alignment vertical="center"/>
      <protection locked="0"/>
    </xf>
    <xf numFmtId="3" fontId="1" fillId="2" borderId="0" xfId="0" applyNumberFormat="1" applyFont="1" applyFill="1" applyAlignment="1" applyProtection="1">
      <alignment vertical="center"/>
      <protection locked="0"/>
    </xf>
    <xf numFmtId="0" fontId="7" fillId="0" borderId="0" xfId="0" applyFont="1" applyAlignment="1"/>
    <xf numFmtId="3" fontId="4" fillId="3" borderId="7" xfId="0" applyNumberFormat="1" applyFont="1" applyFill="1" applyBorder="1" applyAlignment="1" applyProtection="1">
      <alignment vertical="center"/>
      <protection locked="0"/>
    </xf>
    <xf numFmtId="3" fontId="4" fillId="3" borderId="11" xfId="0" applyNumberFormat="1" applyFont="1" applyFill="1" applyBorder="1" applyAlignment="1" applyProtection="1">
      <alignment vertical="center"/>
      <protection locked="0"/>
    </xf>
    <xf numFmtId="0" fontId="7" fillId="0" borderId="0" xfId="0" applyFont="1" applyBorder="1" applyAlignment="1"/>
    <xf numFmtId="0" fontId="13" fillId="0" borderId="0" xfId="0" applyFont="1" applyBorder="1"/>
    <xf numFmtId="3" fontId="5" fillId="0" borderId="27" xfId="0" applyNumberFormat="1" applyFont="1" applyBorder="1" applyAlignment="1">
      <alignment vertical="center"/>
    </xf>
    <xf numFmtId="3" fontId="5" fillId="0" borderId="28" xfId="0" applyNumberFormat="1" applyFont="1" applyBorder="1" applyAlignment="1">
      <alignment vertical="center"/>
    </xf>
    <xf numFmtId="3" fontId="5" fillId="0" borderId="28" xfId="0" applyNumberFormat="1" applyFont="1" applyBorder="1" applyAlignment="1">
      <alignment horizontal="center" vertical="center"/>
    </xf>
    <xf numFmtId="3" fontId="4" fillId="0" borderId="13" xfId="0" applyNumberFormat="1" applyFont="1" applyBorder="1" applyAlignment="1">
      <alignment vertical="center"/>
    </xf>
    <xf numFmtId="3" fontId="5" fillId="0" borderId="0" xfId="0" applyNumberFormat="1" applyFont="1" applyBorder="1" applyAlignment="1">
      <alignment vertical="center"/>
    </xf>
    <xf numFmtId="3" fontId="5" fillId="0" borderId="13" xfId="0" applyNumberFormat="1" applyFont="1" applyBorder="1" applyAlignment="1">
      <alignment vertical="center"/>
    </xf>
    <xf numFmtId="3" fontId="5" fillId="0" borderId="0" xfId="0" applyNumberFormat="1" applyFont="1" applyBorder="1" applyAlignment="1" applyProtection="1">
      <alignment vertical="center"/>
      <protection locked="0"/>
    </xf>
    <xf numFmtId="3" fontId="5" fillId="0" borderId="0" xfId="0" applyNumberFormat="1" applyFont="1" applyBorder="1" applyAlignment="1" applyProtection="1">
      <alignment horizontal="left" vertical="center"/>
      <protection locked="0"/>
    </xf>
    <xf numFmtId="1" fontId="5" fillId="0" borderId="13" xfId="0" applyNumberFormat="1" applyFont="1" applyBorder="1" applyAlignment="1" applyProtection="1">
      <alignment horizontal="left" vertical="center"/>
      <protection locked="0"/>
    </xf>
    <xf numFmtId="3" fontId="5" fillId="0" borderId="29" xfId="0" applyNumberFormat="1" applyFont="1" applyBorder="1" applyAlignment="1">
      <alignment vertical="center"/>
    </xf>
    <xf numFmtId="3" fontId="5" fillId="0" borderId="30" xfId="0" applyNumberFormat="1" applyFont="1" applyBorder="1" applyAlignment="1" applyProtection="1">
      <alignment vertical="center"/>
      <protection locked="0"/>
    </xf>
    <xf numFmtId="3" fontId="4" fillId="0" borderId="0" xfId="0" applyNumberFormat="1" applyFont="1" applyBorder="1" applyAlignment="1">
      <alignment vertical="center"/>
    </xf>
    <xf numFmtId="3" fontId="4" fillId="0" borderId="0" xfId="0" applyNumberFormat="1" applyFont="1" applyAlignment="1">
      <alignment vertical="center"/>
    </xf>
    <xf numFmtId="3" fontId="6" fillId="0" borderId="0" xfId="0" applyNumberFormat="1" applyFont="1" applyAlignment="1">
      <alignment vertical="center"/>
    </xf>
    <xf numFmtId="3" fontId="4" fillId="0" borderId="28" xfId="0" applyNumberFormat="1" applyFont="1" applyBorder="1" applyAlignment="1">
      <alignment vertical="center"/>
    </xf>
    <xf numFmtId="3" fontId="5" fillId="0" borderId="22" xfId="0" applyNumberFormat="1" applyFont="1" applyBorder="1" applyAlignment="1">
      <alignment vertical="center"/>
    </xf>
    <xf numFmtId="3" fontId="5" fillId="0" borderId="14" xfId="0" applyNumberFormat="1" applyFont="1" applyBorder="1" applyAlignment="1">
      <alignment vertical="center"/>
    </xf>
    <xf numFmtId="3" fontId="5" fillId="0" borderId="15" xfId="0" applyNumberFormat="1" applyFont="1" applyBorder="1" applyAlignment="1">
      <alignment horizontal="center" vertical="center"/>
    </xf>
    <xf numFmtId="3" fontId="9" fillId="0" borderId="15" xfId="0" applyNumberFormat="1" applyFont="1" applyBorder="1" applyAlignment="1">
      <alignment horizontal="center" vertical="center"/>
    </xf>
    <xf numFmtId="3" fontId="4" fillId="0" borderId="15" xfId="0" applyNumberFormat="1" applyFont="1" applyBorder="1" applyAlignment="1" applyProtection="1">
      <alignment horizontal="right" vertical="center"/>
      <protection locked="0"/>
    </xf>
    <xf numFmtId="3" fontId="4" fillId="0" borderId="31" xfId="0" applyNumberFormat="1" applyFont="1" applyBorder="1" applyAlignment="1" applyProtection="1">
      <alignment horizontal="right" vertical="center"/>
      <protection locked="0"/>
    </xf>
    <xf numFmtId="3" fontId="4" fillId="0" borderId="32" xfId="0" applyNumberFormat="1" applyFont="1" applyBorder="1" applyAlignment="1" applyProtection="1">
      <alignment horizontal="right" vertical="center"/>
      <protection locked="0"/>
    </xf>
    <xf numFmtId="3" fontId="4" fillId="0" borderId="14" xfId="0" applyNumberFormat="1" applyFont="1" applyBorder="1" applyAlignment="1">
      <alignment vertical="center"/>
    </xf>
    <xf numFmtId="3" fontId="5" fillId="0" borderId="16" xfId="0" applyNumberFormat="1" applyFont="1" applyBorder="1" applyAlignment="1">
      <alignment horizontal="center" vertical="center"/>
    </xf>
    <xf numFmtId="3" fontId="4" fillId="0" borderId="16" xfId="0" applyNumberFormat="1" applyFont="1" applyBorder="1" applyAlignment="1">
      <alignment vertical="center"/>
    </xf>
    <xf numFmtId="3" fontId="5" fillId="0" borderId="16" xfId="0" applyNumberFormat="1" applyFont="1" applyBorder="1" applyAlignment="1">
      <alignment vertical="center"/>
    </xf>
    <xf numFmtId="3" fontId="4" fillId="0" borderId="34" xfId="0" applyNumberFormat="1" applyFont="1" applyBorder="1" applyAlignment="1">
      <alignment horizontal="right" vertical="center"/>
    </xf>
    <xf numFmtId="3" fontId="5" fillId="0" borderId="35" xfId="0" applyNumberFormat="1" applyFont="1" applyBorder="1" applyAlignment="1">
      <alignment vertical="center"/>
    </xf>
    <xf numFmtId="1" fontId="5" fillId="0" borderId="5" xfId="0" applyNumberFormat="1" applyFont="1" applyBorder="1" applyAlignment="1" applyProtection="1">
      <alignment horizontal="left" vertical="center"/>
      <protection locked="0"/>
    </xf>
    <xf numFmtId="3" fontId="5" fillId="0" borderId="36" xfId="0" applyNumberFormat="1" applyFont="1" applyBorder="1" applyAlignment="1" applyProtection="1">
      <alignment vertical="center"/>
      <protection locked="0"/>
    </xf>
    <xf numFmtId="3" fontId="4" fillId="0" borderId="7" xfId="0" applyNumberFormat="1" applyFont="1" applyBorder="1" applyAlignment="1" applyProtection="1">
      <alignment horizontal="right" vertical="center"/>
      <protection locked="0"/>
    </xf>
    <xf numFmtId="3" fontId="4" fillId="0" borderId="8" xfId="0" applyNumberFormat="1" applyFont="1" applyBorder="1" applyAlignment="1">
      <alignment horizontal="right" vertical="center"/>
    </xf>
    <xf numFmtId="3" fontId="4" fillId="0" borderId="9" xfId="0" applyNumberFormat="1" applyFont="1" applyBorder="1" applyAlignment="1">
      <alignment vertical="center"/>
    </xf>
    <xf numFmtId="3" fontId="5" fillId="0" borderId="37" xfId="0" applyNumberFormat="1" applyFont="1" applyBorder="1" applyAlignment="1" applyProtection="1">
      <alignment vertical="center"/>
      <protection locked="0"/>
    </xf>
    <xf numFmtId="3" fontId="4" fillId="0" borderId="11" xfId="0" applyNumberFormat="1" applyFont="1" applyBorder="1" applyAlignment="1" applyProtection="1">
      <alignment horizontal="right" vertical="center"/>
      <protection locked="0"/>
    </xf>
    <xf numFmtId="3" fontId="4" fillId="0" borderId="12" xfId="0" applyNumberFormat="1" applyFont="1" applyBorder="1" applyAlignment="1">
      <alignment horizontal="right" vertical="center"/>
    </xf>
    <xf numFmtId="1" fontId="5" fillId="0" borderId="9" xfId="0" applyNumberFormat="1" applyFont="1" applyBorder="1" applyAlignment="1" applyProtection="1">
      <alignment horizontal="left" vertical="center"/>
      <protection locked="0"/>
    </xf>
    <xf numFmtId="3" fontId="5" fillId="0" borderId="23" xfId="0" applyNumberFormat="1" applyFont="1" applyBorder="1" applyAlignment="1">
      <alignment vertical="center"/>
    </xf>
    <xf numFmtId="3" fontId="5" fillId="0" borderId="9" xfId="0" applyNumberFormat="1" applyFont="1" applyBorder="1" applyAlignment="1">
      <alignment vertical="center"/>
    </xf>
    <xf numFmtId="3" fontId="4" fillId="0" borderId="27" xfId="0" applyNumberFormat="1" applyFont="1" applyBorder="1" applyAlignment="1">
      <alignment vertical="center"/>
    </xf>
    <xf numFmtId="3" fontId="4" fillId="0" borderId="22" xfId="0" applyNumberFormat="1" applyFont="1" applyBorder="1" applyAlignment="1">
      <alignment vertical="center"/>
    </xf>
    <xf numFmtId="3" fontId="5" fillId="0" borderId="35" xfId="0" applyNumberFormat="1" applyFont="1" applyBorder="1" applyAlignment="1">
      <alignment horizontal="center" vertical="center"/>
    </xf>
    <xf numFmtId="3" fontId="4" fillId="0" borderId="35" xfId="0" applyNumberFormat="1" applyFont="1" applyBorder="1" applyAlignment="1">
      <alignment vertical="center"/>
    </xf>
    <xf numFmtId="3" fontId="4" fillId="0" borderId="33" xfId="0" applyNumberFormat="1" applyFont="1" applyBorder="1" applyAlignment="1">
      <alignment vertical="center"/>
    </xf>
    <xf numFmtId="3" fontId="5" fillId="0" borderId="38" xfId="0" applyNumberFormat="1" applyFont="1" applyBorder="1" applyAlignment="1">
      <alignment vertical="center"/>
    </xf>
    <xf numFmtId="3" fontId="5" fillId="0" borderId="24" xfId="0" applyNumberFormat="1" applyFont="1" applyBorder="1" applyAlignment="1">
      <alignment vertical="center"/>
    </xf>
    <xf numFmtId="3" fontId="5" fillId="0" borderId="39" xfId="0" applyNumberFormat="1" applyFont="1" applyBorder="1" applyAlignment="1">
      <alignment vertical="center"/>
    </xf>
    <xf numFmtId="3" fontId="4" fillId="0" borderId="31" xfId="0" applyNumberFormat="1" applyFont="1" applyBorder="1" applyAlignment="1">
      <alignment horizontal="right" vertical="center"/>
    </xf>
    <xf numFmtId="3" fontId="5" fillId="0" borderId="40" xfId="0" applyNumberFormat="1" applyFont="1" applyBorder="1" applyAlignment="1">
      <alignment vertical="center"/>
    </xf>
    <xf numFmtId="3" fontId="5" fillId="0" borderId="41" xfId="0" applyNumberFormat="1" applyFont="1" applyBorder="1" applyAlignment="1">
      <alignment horizontal="left" vertical="center"/>
    </xf>
    <xf numFmtId="3" fontId="4" fillId="0" borderId="42" xfId="0" applyNumberFormat="1" applyFont="1" applyBorder="1" applyAlignment="1">
      <alignment horizontal="right" vertical="center"/>
    </xf>
    <xf numFmtId="3" fontId="5" fillId="0" borderId="43" xfId="0" applyNumberFormat="1" applyFont="1" applyBorder="1" applyAlignment="1">
      <alignment vertical="center"/>
    </xf>
    <xf numFmtId="3" fontId="5" fillId="0" borderId="44" xfId="0" applyNumberFormat="1" applyFont="1" applyBorder="1" applyAlignment="1">
      <alignment vertical="center"/>
    </xf>
    <xf numFmtId="3" fontId="4" fillId="0" borderId="46" xfId="0" applyNumberFormat="1" applyFont="1" applyBorder="1" applyAlignment="1" applyProtection="1">
      <alignment horizontal="right" vertical="center"/>
      <protection locked="0"/>
    </xf>
    <xf numFmtId="1" fontId="5" fillId="0" borderId="43" xfId="0" applyNumberFormat="1" applyFont="1" applyBorder="1" applyAlignment="1" applyProtection="1">
      <alignment horizontal="left" vertical="center"/>
      <protection locked="0"/>
    </xf>
    <xf numFmtId="3" fontId="5" fillId="0" borderId="44" xfId="0" applyNumberFormat="1" applyFont="1" applyBorder="1" applyAlignment="1" applyProtection="1">
      <alignment vertical="center"/>
      <protection locked="0"/>
    </xf>
    <xf numFmtId="3" fontId="5" fillId="0" borderId="37" xfId="0" applyNumberFormat="1" applyFont="1" applyBorder="1" applyAlignment="1" applyProtection="1">
      <alignment horizontal="left" vertical="center"/>
      <protection locked="0"/>
    </xf>
    <xf numFmtId="3" fontId="4" fillId="0" borderId="11" xfId="0" applyNumberFormat="1" applyFont="1" applyBorder="1" applyAlignment="1">
      <alignment horizontal="right" vertical="center"/>
    </xf>
    <xf numFmtId="3" fontId="4" fillId="0" borderId="50" xfId="0" applyNumberFormat="1" applyFont="1" applyBorder="1" applyAlignment="1" applyProtection="1">
      <alignment horizontal="right" vertical="center"/>
      <protection locked="0"/>
    </xf>
    <xf numFmtId="3" fontId="4" fillId="0" borderId="32" xfId="0" applyNumberFormat="1" applyFont="1" applyBorder="1" applyAlignment="1">
      <alignment horizontal="right" vertical="center"/>
    </xf>
    <xf numFmtId="3" fontId="5" fillId="0" borderId="41" xfId="0" applyNumberFormat="1" applyFont="1" applyBorder="1" applyAlignment="1">
      <alignment vertical="center"/>
    </xf>
    <xf numFmtId="3" fontId="4" fillId="0" borderId="25" xfId="0" applyNumberFormat="1" applyFont="1" applyBorder="1" applyAlignment="1">
      <alignment vertical="center"/>
    </xf>
    <xf numFmtId="3" fontId="4" fillId="0" borderId="51" xfId="0" applyNumberFormat="1" applyFont="1" applyBorder="1" applyAlignment="1">
      <alignment horizontal="right" vertical="center"/>
    </xf>
    <xf numFmtId="3" fontId="5" fillId="0" borderId="38" xfId="0" applyNumberFormat="1" applyFont="1" applyBorder="1" applyAlignment="1">
      <alignment horizontal="left" vertical="center"/>
    </xf>
    <xf numFmtId="3" fontId="5" fillId="0" borderId="25" xfId="0" applyNumberFormat="1" applyFont="1" applyBorder="1" applyAlignment="1">
      <alignment vertical="center"/>
    </xf>
    <xf numFmtId="3" fontId="9" fillId="0" borderId="51" xfId="0" applyNumberFormat="1" applyFont="1" applyBorder="1" applyAlignment="1">
      <alignment horizontal="center" vertical="center"/>
    </xf>
    <xf numFmtId="3" fontId="5" fillId="0" borderId="21" xfId="0" applyNumberFormat="1" applyFont="1" applyBorder="1" applyAlignment="1">
      <alignment vertical="center"/>
    </xf>
    <xf numFmtId="3" fontId="4" fillId="0" borderId="23" xfId="0" applyNumberFormat="1" applyFont="1" applyBorder="1" applyAlignment="1">
      <alignment vertical="center"/>
    </xf>
    <xf numFmtId="3" fontId="5" fillId="0" borderId="51" xfId="0" applyNumberFormat="1" applyFont="1" applyBorder="1" applyAlignment="1">
      <alignment horizontal="center" vertical="center"/>
    </xf>
    <xf numFmtId="3" fontId="5" fillId="0" borderId="26" xfId="0" applyNumberFormat="1" applyFont="1" applyBorder="1" applyAlignment="1">
      <alignment horizontal="center" vertical="center"/>
    </xf>
    <xf numFmtId="0" fontId="0" fillId="0" borderId="0" xfId="0" applyBorder="1"/>
    <xf numFmtId="3" fontId="4" fillId="0" borderId="36" xfId="0" applyNumberFormat="1" applyFont="1" applyBorder="1" applyAlignment="1">
      <alignment vertical="center"/>
    </xf>
    <xf numFmtId="3" fontId="5" fillId="0" borderId="36" xfId="0" applyNumberFormat="1" applyFont="1" applyBorder="1" applyAlignment="1" applyProtection="1">
      <alignment horizontal="left" vertical="center"/>
      <protection locked="0"/>
    </xf>
    <xf numFmtId="3" fontId="5" fillId="0" borderId="25" xfId="0" applyNumberFormat="1" applyFont="1" applyBorder="1" applyAlignment="1" applyProtection="1">
      <alignment horizontal="left" vertical="center"/>
      <protection locked="0"/>
    </xf>
    <xf numFmtId="3" fontId="5" fillId="0" borderId="0" xfId="0" applyNumberFormat="1" applyFont="1" applyAlignment="1" applyProtection="1">
      <alignment horizontal="left" vertical="center"/>
      <protection locked="0"/>
    </xf>
    <xf numFmtId="3" fontId="5" fillId="0" borderId="9" xfId="0" applyNumberFormat="1" applyFont="1" applyBorder="1" applyAlignment="1">
      <alignment horizontal="left" vertical="center"/>
    </xf>
    <xf numFmtId="3" fontId="5" fillId="0" borderId="37" xfId="0" applyNumberFormat="1" applyFont="1" applyBorder="1" applyAlignment="1">
      <alignment vertical="center"/>
    </xf>
    <xf numFmtId="3" fontId="5" fillId="0" borderId="9" xfId="0" applyNumberFormat="1" applyFont="1" applyBorder="1" applyAlignment="1" applyProtection="1">
      <alignment vertical="center"/>
      <protection locked="0"/>
    </xf>
    <xf numFmtId="3" fontId="5" fillId="0" borderId="30" xfId="0" applyNumberFormat="1" applyFont="1" applyBorder="1" applyAlignment="1">
      <alignment vertical="center"/>
    </xf>
    <xf numFmtId="3" fontId="10" fillId="0" borderId="54" xfId="0" applyNumberFormat="1" applyFont="1" applyBorder="1" applyAlignment="1">
      <alignment vertical="center"/>
    </xf>
    <xf numFmtId="3" fontId="9" fillId="0" borderId="25" xfId="0" applyNumberFormat="1" applyFont="1" applyBorder="1" applyAlignment="1">
      <alignment horizontal="center" vertical="center"/>
    </xf>
    <xf numFmtId="3" fontId="9" fillId="0" borderId="6" xfId="0" applyNumberFormat="1" applyFont="1" applyBorder="1" applyAlignment="1" applyProtection="1">
      <alignment horizontal="left" vertical="center"/>
      <protection locked="0"/>
    </xf>
    <xf numFmtId="3" fontId="9" fillId="0" borderId="10" xfId="0" applyNumberFormat="1" applyFont="1" applyBorder="1" applyAlignment="1" applyProtection="1">
      <alignment horizontal="left" vertical="center"/>
      <protection locked="0"/>
    </xf>
    <xf numFmtId="3" fontId="9" fillId="0" borderId="45" xfId="0" applyNumberFormat="1" applyFont="1" applyBorder="1" applyAlignment="1" applyProtection="1">
      <alignment horizontal="left" vertical="center"/>
      <protection locked="0"/>
    </xf>
    <xf numFmtId="3" fontId="9" fillId="0" borderId="14" xfId="0" applyNumberFormat="1" applyFont="1" applyBorder="1" applyAlignment="1" applyProtection="1">
      <alignment horizontal="left" vertical="center"/>
      <protection locked="0"/>
    </xf>
    <xf numFmtId="3" fontId="9" fillId="0" borderId="6" xfId="0" applyNumberFormat="1" applyFont="1" applyBorder="1" applyAlignment="1" applyProtection="1">
      <alignment vertical="center"/>
      <protection locked="0"/>
    </xf>
    <xf numFmtId="3" fontId="9" fillId="0" borderId="10" xfId="0" applyNumberFormat="1" applyFont="1" applyBorder="1" applyAlignment="1" applyProtection="1">
      <alignment vertical="center"/>
      <protection locked="0"/>
    </xf>
    <xf numFmtId="3" fontId="9" fillId="0" borderId="45" xfId="0" applyNumberFormat="1" applyFont="1" applyBorder="1" applyAlignment="1" applyProtection="1">
      <alignment vertical="center"/>
      <protection locked="0"/>
    </xf>
    <xf numFmtId="3" fontId="9" fillId="0" borderId="55" xfId="0" applyNumberFormat="1" applyFont="1" applyBorder="1" applyAlignment="1" applyProtection="1">
      <alignment vertical="center"/>
      <protection locked="0"/>
    </xf>
    <xf numFmtId="3" fontId="8" fillId="0" borderId="0" xfId="0" applyNumberFormat="1" applyFont="1" applyAlignment="1">
      <alignment vertical="center"/>
    </xf>
    <xf numFmtId="3" fontId="12" fillId="0" borderId="0" xfId="0" applyNumberFormat="1" applyFont="1" applyBorder="1" applyAlignment="1">
      <alignment vertical="center"/>
    </xf>
    <xf numFmtId="3" fontId="12" fillId="0" borderId="0" xfId="0" applyNumberFormat="1" applyFont="1" applyAlignment="1">
      <alignment vertical="center"/>
    </xf>
    <xf numFmtId="3" fontId="5" fillId="0" borderId="24" xfId="0" applyNumberFormat="1" applyFont="1" applyBorder="1" applyAlignment="1" applyProtection="1">
      <alignment vertical="center"/>
      <protection locked="0"/>
    </xf>
    <xf numFmtId="3" fontId="9" fillId="0" borderId="39" xfId="0" applyNumberFormat="1" applyFont="1" applyBorder="1" applyAlignment="1" applyProtection="1">
      <alignment horizontal="left" vertical="center"/>
      <protection locked="0"/>
    </xf>
    <xf numFmtId="3" fontId="18" fillId="0" borderId="10" xfId="0" applyNumberFormat="1" applyFont="1" applyBorder="1" applyAlignment="1">
      <alignment vertical="center"/>
    </xf>
    <xf numFmtId="3" fontId="18" fillId="0" borderId="39" xfId="0" applyNumberFormat="1" applyFont="1" applyBorder="1" applyAlignment="1">
      <alignment vertical="center"/>
    </xf>
    <xf numFmtId="0" fontId="19" fillId="0" borderId="0" xfId="0" applyFont="1" applyBorder="1"/>
    <xf numFmtId="0" fontId="19" fillId="0" borderId="0" xfId="0" applyFont="1"/>
    <xf numFmtId="3" fontId="5" fillId="0" borderId="36" xfId="0" applyNumberFormat="1" applyFont="1" applyBorder="1" applyAlignment="1">
      <alignment vertical="center"/>
    </xf>
    <xf numFmtId="3" fontId="4" fillId="0" borderId="6" xfId="0" applyNumberFormat="1" applyFont="1" applyBorder="1" applyAlignment="1">
      <alignment vertical="center"/>
    </xf>
    <xf numFmtId="3" fontId="9" fillId="0" borderId="23" xfId="0" applyNumberFormat="1" applyFont="1" applyBorder="1" applyAlignment="1" applyProtection="1">
      <alignment horizontal="left" vertical="center"/>
      <protection locked="0"/>
    </xf>
    <xf numFmtId="3" fontId="9" fillId="0" borderId="23" xfId="0" applyNumberFormat="1" applyFont="1" applyBorder="1" applyAlignment="1" applyProtection="1">
      <alignment vertical="center"/>
      <protection locked="0"/>
    </xf>
    <xf numFmtId="3" fontId="4" fillId="0" borderId="7" xfId="0" applyNumberFormat="1" applyFont="1" applyBorder="1" applyAlignment="1">
      <alignment horizontal="right" vertical="center"/>
    </xf>
    <xf numFmtId="3" fontId="5" fillId="0" borderId="6" xfId="0" applyNumberFormat="1" applyFont="1" applyBorder="1" applyAlignment="1">
      <alignment vertical="center"/>
    </xf>
    <xf numFmtId="3" fontId="9" fillId="0" borderId="10" xfId="0" applyNumberFormat="1" applyFont="1" applyBorder="1" applyAlignment="1">
      <alignment vertical="center"/>
    </xf>
    <xf numFmtId="3" fontId="9" fillId="0" borderId="23" xfId="0" applyNumberFormat="1" applyFont="1" applyBorder="1" applyAlignment="1">
      <alignment vertical="center"/>
    </xf>
    <xf numFmtId="3" fontId="9" fillId="0" borderId="55" xfId="0" applyNumberFormat="1" applyFont="1" applyBorder="1" applyAlignment="1">
      <alignment vertical="center"/>
    </xf>
    <xf numFmtId="3" fontId="4" fillId="0" borderId="29" xfId="0" applyNumberFormat="1" applyFont="1" applyBorder="1" applyAlignment="1">
      <alignment vertical="center"/>
    </xf>
    <xf numFmtId="3" fontId="4" fillId="0" borderId="21" xfId="0" applyNumberFormat="1" applyFont="1" applyBorder="1" applyAlignment="1">
      <alignment vertical="center"/>
    </xf>
    <xf numFmtId="0" fontId="22" fillId="0" borderId="0" xfId="0" applyFont="1"/>
    <xf numFmtId="3" fontId="4" fillId="0" borderId="46" xfId="0" applyNumberFormat="1" applyFont="1" applyBorder="1" applyAlignment="1">
      <alignment vertical="center"/>
    </xf>
    <xf numFmtId="3" fontId="9" fillId="0" borderId="9" xfId="0" applyNumberFormat="1" applyFont="1" applyBorder="1" applyAlignment="1">
      <alignment vertical="center"/>
    </xf>
    <xf numFmtId="3" fontId="4" fillId="0" borderId="9" xfId="0" applyNumberFormat="1" applyFont="1" applyBorder="1" applyAlignment="1">
      <alignment horizontal="left" vertical="center"/>
    </xf>
    <xf numFmtId="3" fontId="4" fillId="0" borderId="9" xfId="0" applyNumberFormat="1" applyFont="1" applyBorder="1" applyAlignment="1" applyProtection="1">
      <alignment vertical="center"/>
      <protection locked="0"/>
    </xf>
    <xf numFmtId="0" fontId="13" fillId="0" borderId="0" xfId="0" applyFont="1" applyAlignment="1">
      <alignment vertical="center"/>
    </xf>
    <xf numFmtId="0" fontId="13" fillId="0" borderId="0" xfId="0" applyFont="1" applyBorder="1" applyAlignment="1">
      <alignment vertical="center"/>
    </xf>
    <xf numFmtId="3" fontId="2" fillId="2" borderId="0" xfId="0" applyNumberFormat="1" applyFont="1" applyFill="1" applyAlignment="1" applyProtection="1">
      <alignment vertical="center"/>
      <protection locked="0"/>
    </xf>
    <xf numFmtId="3" fontId="5" fillId="0" borderId="56" xfId="0" applyNumberFormat="1" applyFont="1" applyBorder="1" applyAlignment="1">
      <alignment vertical="center"/>
    </xf>
    <xf numFmtId="3" fontId="9" fillId="0" borderId="57" xfId="0" applyNumberFormat="1" applyFont="1" applyBorder="1" applyAlignment="1">
      <alignment vertical="center"/>
    </xf>
    <xf numFmtId="3" fontId="5" fillId="0" borderId="57" xfId="0" applyNumberFormat="1" applyFont="1" applyBorder="1" applyAlignment="1" applyProtection="1">
      <alignment vertical="center"/>
      <protection locked="0"/>
    </xf>
    <xf numFmtId="3" fontId="5" fillId="0" borderId="57" xfId="0" applyNumberFormat="1" applyFont="1" applyBorder="1" applyAlignment="1">
      <alignment horizontal="left" vertical="center"/>
    </xf>
    <xf numFmtId="3" fontId="5" fillId="0" borderId="57" xfId="0" applyNumberFormat="1" applyFont="1" applyBorder="1" applyAlignment="1">
      <alignment vertical="center"/>
    </xf>
    <xf numFmtId="3" fontId="4" fillId="0" borderId="58" xfId="0" applyNumberFormat="1" applyFont="1" applyBorder="1" applyAlignment="1" applyProtection="1">
      <alignment horizontal="right" vertical="center"/>
      <protection locked="0"/>
    </xf>
    <xf numFmtId="3" fontId="4" fillId="0" borderId="58" xfId="0" applyNumberFormat="1" applyFont="1" applyBorder="1" applyAlignment="1">
      <alignment horizontal="right" vertical="center"/>
    </xf>
    <xf numFmtId="3" fontId="4" fillId="0" borderId="59" xfId="0" applyNumberFormat="1" applyFont="1" applyBorder="1" applyAlignment="1">
      <alignment horizontal="right" vertical="center"/>
    </xf>
    <xf numFmtId="3" fontId="4" fillId="0" borderId="60" xfId="0" applyNumberFormat="1" applyFont="1" applyBorder="1" applyAlignment="1">
      <alignment horizontal="right" vertical="center"/>
    </xf>
    <xf numFmtId="3" fontId="4" fillId="0" borderId="61" xfId="0" applyNumberFormat="1" applyFont="1" applyBorder="1" applyAlignment="1" applyProtection="1">
      <alignment horizontal="right" vertical="center"/>
      <protection locked="0"/>
    </xf>
    <xf numFmtId="3" fontId="4" fillId="0" borderId="62" xfId="0" applyNumberFormat="1" applyFont="1" applyBorder="1" applyAlignment="1">
      <alignment horizontal="right" vertical="center"/>
    </xf>
    <xf numFmtId="3" fontId="4" fillId="0" borderId="53" xfId="0" applyNumberFormat="1" applyFont="1" applyBorder="1" applyAlignment="1">
      <alignment horizontal="right" vertical="center"/>
    </xf>
    <xf numFmtId="3" fontId="4" fillId="0" borderId="63" xfId="0" applyNumberFormat="1" applyFont="1" applyBorder="1" applyAlignment="1">
      <alignment horizontal="right" vertical="center"/>
    </xf>
    <xf numFmtId="3" fontId="4" fillId="0" borderId="63" xfId="0" applyNumberFormat="1" applyFont="1" applyBorder="1" applyAlignment="1" applyProtection="1">
      <alignment horizontal="right" vertical="center"/>
      <protection locked="0"/>
    </xf>
    <xf numFmtId="3" fontId="4" fillId="0" borderId="59" xfId="0" applyNumberFormat="1" applyFont="1" applyBorder="1" applyAlignment="1" applyProtection="1">
      <alignment horizontal="right" vertical="center"/>
      <protection locked="0"/>
    </xf>
    <xf numFmtId="3" fontId="4" fillId="0" borderId="64" xfId="0" applyNumberFormat="1" applyFont="1" applyBorder="1" applyAlignment="1">
      <alignment horizontal="right" vertical="center"/>
    </xf>
    <xf numFmtId="3" fontId="4" fillId="0" borderId="60" xfId="0" applyNumberFormat="1" applyFont="1" applyBorder="1" applyAlignment="1" applyProtection="1">
      <alignment horizontal="right" vertical="center"/>
      <protection locked="0"/>
    </xf>
    <xf numFmtId="3" fontId="4" fillId="0" borderId="65" xfId="0" applyNumberFormat="1" applyFont="1" applyBorder="1" applyAlignment="1" applyProtection="1">
      <alignment horizontal="right" vertical="center"/>
      <protection locked="0"/>
    </xf>
    <xf numFmtId="3" fontId="4" fillId="0" borderId="58" xfId="0" applyNumberFormat="1" applyFont="1" applyBorder="1" applyAlignment="1">
      <alignment vertical="center"/>
    </xf>
    <xf numFmtId="3" fontId="4" fillId="0" borderId="63" xfId="0" applyNumberFormat="1" applyFont="1" applyBorder="1" applyAlignment="1">
      <alignment vertical="center"/>
    </xf>
    <xf numFmtId="3" fontId="4" fillId="0" borderId="61" xfId="0" applyNumberFormat="1" applyFont="1" applyBorder="1" applyAlignment="1">
      <alignment vertical="center"/>
    </xf>
    <xf numFmtId="3" fontId="4" fillId="0" borderId="50" xfId="0" applyNumberFormat="1" applyFont="1" applyBorder="1" applyAlignment="1">
      <alignment vertical="center"/>
    </xf>
    <xf numFmtId="3" fontId="4" fillId="0" borderId="65" xfId="0" applyNumberFormat="1" applyFont="1" applyBorder="1" applyAlignment="1">
      <alignment vertical="center"/>
    </xf>
    <xf numFmtId="0" fontId="0" fillId="0" borderId="0" xfId="0" applyBorder="1" applyAlignment="1">
      <alignment horizontal="center" vertical="center"/>
    </xf>
    <xf numFmtId="1" fontId="9" fillId="2" borderId="51" xfId="0" applyNumberFormat="1" applyFont="1" applyFill="1" applyBorder="1" applyAlignment="1" applyProtection="1">
      <alignment horizontal="center" vertical="center"/>
      <protection locked="0"/>
    </xf>
    <xf numFmtId="0" fontId="13" fillId="0" borderId="14" xfId="0" applyFont="1" applyBorder="1" applyAlignment="1">
      <alignment horizontal="center" vertical="center"/>
    </xf>
    <xf numFmtId="3" fontId="5" fillId="2" borderId="31" xfId="0" applyNumberFormat="1" applyFont="1" applyFill="1" applyBorder="1" applyAlignment="1" applyProtection="1">
      <alignment horizontal="center" vertical="center"/>
      <protection locked="0"/>
    </xf>
    <xf numFmtId="3" fontId="5" fillId="2" borderId="15" xfId="0" applyNumberFormat="1" applyFont="1" applyFill="1" applyBorder="1" applyAlignment="1" applyProtection="1">
      <alignment horizontal="center" vertical="center"/>
      <protection locked="0"/>
    </xf>
    <xf numFmtId="3" fontId="9" fillId="2" borderId="15" xfId="0" applyNumberFormat="1" applyFont="1" applyFill="1" applyBorder="1" applyAlignment="1" applyProtection="1">
      <alignment horizontal="center" vertical="center"/>
      <protection locked="0"/>
    </xf>
    <xf numFmtId="0" fontId="24" fillId="0" borderId="15" xfId="0" applyFont="1" applyBorder="1" applyAlignment="1">
      <alignment horizontal="center" vertical="center"/>
    </xf>
    <xf numFmtId="0" fontId="13" fillId="0" borderId="66" xfId="0" applyFont="1" applyBorder="1" applyAlignment="1">
      <alignment horizontal="center" vertical="center"/>
    </xf>
    <xf numFmtId="3" fontId="1" fillId="2" borderId="0" xfId="0" applyNumberFormat="1" applyFont="1" applyFill="1" applyBorder="1" applyAlignment="1" applyProtection="1">
      <alignment vertical="center"/>
      <protection locked="0"/>
    </xf>
    <xf numFmtId="3" fontId="5" fillId="2" borderId="0" xfId="0" applyNumberFormat="1" applyFont="1" applyFill="1" applyBorder="1" applyAlignment="1" applyProtection="1">
      <alignment vertical="center"/>
      <protection locked="0"/>
    </xf>
    <xf numFmtId="3" fontId="9" fillId="2" borderId="25" xfId="0" applyNumberFormat="1" applyFont="1" applyFill="1" applyBorder="1" applyAlignment="1" applyProtection="1">
      <alignment vertical="center"/>
      <protection locked="0"/>
    </xf>
    <xf numFmtId="3" fontId="4" fillId="2" borderId="58" xfId="0" applyNumberFormat="1" applyFont="1" applyFill="1" applyBorder="1" applyAlignment="1" applyProtection="1">
      <alignment vertical="center"/>
      <protection locked="0"/>
    </xf>
    <xf numFmtId="3" fontId="4" fillId="2" borderId="58" xfId="0" applyNumberFormat="1" applyFont="1" applyFill="1" applyBorder="1" applyAlignment="1" applyProtection="1">
      <alignment horizontal="right" vertical="center"/>
      <protection locked="0"/>
    </xf>
    <xf numFmtId="3" fontId="4" fillId="2" borderId="67" xfId="0" applyNumberFormat="1" applyFont="1" applyFill="1" applyBorder="1" applyAlignment="1" applyProtection="1">
      <alignment horizontal="right" vertical="center"/>
      <protection locked="0"/>
    </xf>
    <xf numFmtId="3" fontId="25" fillId="0" borderId="0" xfId="0" applyNumberFormat="1" applyFont="1" applyBorder="1" applyAlignment="1" applyProtection="1">
      <alignment vertical="center"/>
      <protection locked="0"/>
    </xf>
    <xf numFmtId="3" fontId="26" fillId="0" borderId="0" xfId="0" applyNumberFormat="1" applyFont="1" applyBorder="1" applyAlignment="1">
      <alignment vertical="center"/>
    </xf>
    <xf numFmtId="3" fontId="4" fillId="2" borderId="23" xfId="0" applyNumberFormat="1" applyFont="1" applyFill="1" applyBorder="1" applyAlignment="1" applyProtection="1">
      <alignment vertical="center"/>
      <protection locked="0"/>
    </xf>
    <xf numFmtId="3" fontId="4" fillId="2" borderId="59" xfId="0" applyNumberFormat="1" applyFont="1" applyFill="1" applyBorder="1" applyAlignment="1" applyProtection="1">
      <alignment horizontal="right" vertical="center"/>
      <protection locked="0"/>
    </xf>
    <xf numFmtId="0" fontId="0" fillId="0" borderId="13" xfId="0" applyBorder="1" applyAlignment="1">
      <alignment horizontal="center" vertical="center"/>
    </xf>
    <xf numFmtId="1" fontId="9" fillId="2" borderId="13" xfId="0" applyNumberFormat="1" applyFont="1" applyFill="1" applyBorder="1" applyAlignment="1" applyProtection="1">
      <alignment horizontal="center" vertical="center"/>
      <protection locked="0"/>
    </xf>
    <xf numFmtId="3" fontId="5" fillId="2" borderId="0" xfId="0" applyNumberFormat="1" applyFont="1" applyFill="1" applyBorder="1" applyAlignment="1" applyProtection="1">
      <alignment horizontal="center" vertical="center"/>
      <protection locked="0"/>
    </xf>
    <xf numFmtId="1" fontId="9" fillId="2" borderId="0" xfId="0" applyNumberFormat="1" applyFont="1" applyFill="1" applyBorder="1" applyAlignment="1" applyProtection="1">
      <alignment horizontal="center" vertical="center"/>
      <protection locked="0"/>
    </xf>
    <xf numFmtId="3" fontId="0" fillId="0" borderId="0" xfId="0" applyNumberFormat="1"/>
    <xf numFmtId="0" fontId="24" fillId="0" borderId="35" xfId="0" applyFont="1" applyBorder="1" applyAlignment="1">
      <alignment horizontal="center"/>
    </xf>
    <xf numFmtId="3" fontId="9" fillId="0" borderId="0" xfId="0" applyNumberFormat="1" applyFont="1" applyBorder="1" applyAlignment="1" applyProtection="1">
      <alignment horizontal="left" vertical="center"/>
      <protection locked="0"/>
    </xf>
    <xf numFmtId="3" fontId="5" fillId="0" borderId="68" xfId="0" applyNumberFormat="1" applyFont="1" applyBorder="1" applyAlignment="1">
      <alignment vertical="center"/>
    </xf>
    <xf numFmtId="3" fontId="5" fillId="0" borderId="69" xfId="0" applyNumberFormat="1" applyFont="1" applyBorder="1" applyAlignment="1" applyProtection="1">
      <alignment horizontal="left" vertical="center"/>
      <protection locked="0"/>
    </xf>
    <xf numFmtId="3" fontId="9" fillId="0" borderId="70" xfId="0" applyNumberFormat="1" applyFont="1" applyBorder="1" applyAlignment="1" applyProtection="1">
      <alignment horizontal="left" vertical="center"/>
      <protection locked="0"/>
    </xf>
    <xf numFmtId="0" fontId="17" fillId="2" borderId="13" xfId="0" applyFont="1" applyFill="1" applyBorder="1" applyAlignment="1">
      <alignment vertical="center"/>
    </xf>
    <xf numFmtId="0" fontId="21" fillId="2" borderId="13" xfId="0" applyFont="1" applyFill="1" applyBorder="1" applyAlignment="1">
      <alignment vertical="center"/>
    </xf>
    <xf numFmtId="3" fontId="5" fillId="0" borderId="28" xfId="0" applyNumberFormat="1" applyFont="1" applyBorder="1" applyAlignment="1" applyProtection="1">
      <alignment horizontal="left" vertical="center"/>
      <protection locked="0"/>
    </xf>
    <xf numFmtId="3" fontId="5" fillId="0" borderId="30" xfId="0" applyNumberFormat="1" applyFont="1" applyBorder="1" applyAlignment="1" applyProtection="1">
      <alignment horizontal="left" vertical="center"/>
      <protection locked="0"/>
    </xf>
    <xf numFmtId="1" fontId="4" fillId="2" borderId="7" xfId="0" applyNumberFormat="1" applyFont="1" applyFill="1" applyBorder="1" applyAlignment="1" applyProtection="1">
      <alignment horizontal="right" vertical="center"/>
      <protection locked="0"/>
    </xf>
    <xf numFmtId="1" fontId="4" fillId="2" borderId="10" xfId="0" applyNumberFormat="1" applyFont="1" applyFill="1" applyBorder="1" applyAlignment="1" applyProtection="1">
      <alignment horizontal="right" vertical="center"/>
      <protection locked="0"/>
    </xf>
    <xf numFmtId="1" fontId="4" fillId="2" borderId="14" xfId="0" applyNumberFormat="1" applyFont="1" applyFill="1" applyBorder="1" applyAlignment="1" applyProtection="1">
      <alignment horizontal="right" vertical="center"/>
      <protection locked="0"/>
    </xf>
    <xf numFmtId="1" fontId="5" fillId="2" borderId="2" xfId="0" applyNumberFormat="1" applyFont="1" applyFill="1" applyBorder="1" applyAlignment="1" applyProtection="1">
      <alignment horizontal="right" vertical="center"/>
      <protection locked="0"/>
    </xf>
    <xf numFmtId="1" fontId="1" fillId="2" borderId="0" xfId="0" applyNumberFormat="1" applyFont="1" applyFill="1" applyAlignment="1" applyProtection="1">
      <alignment horizontal="right" vertical="center"/>
      <protection locked="0"/>
    </xf>
    <xf numFmtId="1" fontId="4" fillId="2" borderId="11" xfId="0" applyNumberFormat="1" applyFont="1" applyFill="1" applyBorder="1" applyAlignment="1" applyProtection="1">
      <alignment horizontal="right" vertical="center"/>
      <protection locked="0"/>
    </xf>
    <xf numFmtId="1" fontId="5" fillId="2" borderId="19" xfId="0" applyNumberFormat="1" applyFont="1" applyFill="1" applyBorder="1" applyAlignment="1" applyProtection="1">
      <alignment horizontal="right" vertical="center"/>
      <protection locked="0"/>
    </xf>
    <xf numFmtId="1" fontId="4" fillId="2" borderId="63" xfId="0" applyNumberFormat="1" applyFont="1" applyFill="1" applyBorder="1" applyAlignment="1" applyProtection="1">
      <alignment horizontal="right" vertical="center"/>
      <protection locked="0"/>
    </xf>
    <xf numFmtId="1" fontId="4" fillId="2" borderId="12" xfId="0" applyNumberFormat="1" applyFont="1" applyFill="1" applyBorder="1" applyAlignment="1" applyProtection="1">
      <alignment horizontal="right" vertical="center"/>
      <protection locked="0"/>
    </xf>
    <xf numFmtId="1" fontId="4" fillId="2" borderId="16" xfId="0" applyNumberFormat="1" applyFont="1" applyFill="1" applyBorder="1" applyAlignment="1" applyProtection="1">
      <alignment horizontal="right" vertical="center"/>
      <protection locked="0"/>
    </xf>
    <xf numFmtId="1" fontId="5" fillId="2" borderId="3" xfId="0" applyNumberFormat="1" applyFont="1" applyFill="1" applyBorder="1" applyAlignment="1" applyProtection="1">
      <alignment horizontal="right" vertical="center"/>
      <protection locked="0"/>
    </xf>
    <xf numFmtId="1" fontId="1" fillId="2" borderId="16" xfId="0" applyNumberFormat="1" applyFont="1" applyFill="1" applyBorder="1" applyAlignment="1" applyProtection="1">
      <alignment horizontal="right" vertical="center"/>
      <protection locked="0"/>
    </xf>
    <xf numFmtId="1" fontId="4" fillId="2" borderId="8" xfId="0" applyNumberFormat="1" applyFont="1" applyFill="1" applyBorder="1" applyAlignment="1" applyProtection="1">
      <alignment horizontal="right" vertical="center"/>
      <protection locked="0"/>
    </xf>
    <xf numFmtId="1" fontId="5" fillId="2" borderId="20" xfId="0" applyNumberFormat="1" applyFont="1" applyFill="1" applyBorder="1" applyAlignment="1" applyProtection="1">
      <alignment horizontal="right" vertical="center"/>
      <protection locked="0"/>
    </xf>
    <xf numFmtId="3" fontId="4" fillId="4" borderId="7" xfId="0" applyNumberFormat="1" applyFont="1" applyFill="1" applyBorder="1" applyAlignment="1" applyProtection="1">
      <alignment vertical="center"/>
      <protection locked="0"/>
    </xf>
    <xf numFmtId="3" fontId="4" fillId="4" borderId="11" xfId="0" applyNumberFormat="1" applyFont="1" applyFill="1" applyBorder="1" applyAlignment="1" applyProtection="1">
      <alignment vertical="center"/>
      <protection locked="0"/>
    </xf>
    <xf numFmtId="3" fontId="4" fillId="4" borderId="11" xfId="0" applyNumberFormat="1" applyFont="1" applyFill="1" applyBorder="1" applyAlignment="1" applyProtection="1">
      <alignment horizontal="right" vertical="center"/>
      <protection locked="0"/>
    </xf>
    <xf numFmtId="3" fontId="4" fillId="4" borderId="58" xfId="0" applyNumberFormat="1" applyFont="1" applyFill="1" applyBorder="1" applyAlignment="1" applyProtection="1">
      <alignment vertical="center"/>
      <protection locked="0"/>
    </xf>
    <xf numFmtId="3" fontId="4" fillId="4" borderId="7" xfId="0" applyNumberFormat="1" applyFont="1" applyFill="1" applyBorder="1" applyAlignment="1">
      <alignment vertical="center"/>
    </xf>
    <xf numFmtId="3" fontId="4" fillId="4" borderId="11" xfId="0" applyNumberFormat="1" applyFont="1" applyFill="1" applyBorder="1" applyAlignment="1">
      <alignment vertical="center"/>
    </xf>
    <xf numFmtId="3" fontId="4" fillId="4" borderId="58" xfId="0" applyNumberFormat="1" applyFont="1" applyFill="1" applyBorder="1" applyAlignment="1">
      <alignment vertical="center"/>
    </xf>
    <xf numFmtId="1" fontId="5" fillId="0" borderId="9" xfId="0" applyNumberFormat="1" applyFont="1" applyBorder="1" applyAlignment="1">
      <alignment vertical="center"/>
    </xf>
    <xf numFmtId="1" fontId="5" fillId="0" borderId="21" xfId="0" applyNumberFormat="1" applyFont="1" applyBorder="1" applyAlignment="1">
      <alignment vertical="center"/>
    </xf>
    <xf numFmtId="1" fontId="5" fillId="0" borderId="13" xfId="0" applyNumberFormat="1" applyFont="1" applyBorder="1" applyAlignment="1">
      <alignment vertical="center"/>
    </xf>
    <xf numFmtId="1" fontId="5" fillId="0" borderId="9" xfId="0" applyNumberFormat="1" applyFont="1" applyBorder="1" applyAlignment="1">
      <alignment horizontal="left" vertical="center"/>
    </xf>
    <xf numFmtId="1" fontId="5" fillId="0" borderId="9" xfId="0" applyNumberFormat="1" applyFont="1" applyBorder="1" applyAlignment="1" applyProtection="1">
      <alignment vertical="center"/>
      <protection locked="0"/>
    </xf>
    <xf numFmtId="3" fontId="4" fillId="0" borderId="7" xfId="0" applyNumberFormat="1" applyFont="1" applyBorder="1" applyAlignment="1">
      <alignment vertical="center"/>
    </xf>
    <xf numFmtId="3" fontId="4" fillId="0" borderId="51" xfId="0" applyNumberFormat="1" applyFont="1" applyBorder="1" applyAlignment="1">
      <alignment vertical="center"/>
    </xf>
    <xf numFmtId="3" fontId="4" fillId="0" borderId="61" xfId="0" applyNumberFormat="1" applyFont="1" applyBorder="1" applyAlignment="1">
      <alignment horizontal="right" vertical="center"/>
    </xf>
    <xf numFmtId="3" fontId="5" fillId="0" borderId="72" xfId="0" applyNumberFormat="1" applyFont="1" applyBorder="1" applyAlignment="1">
      <alignment horizontal="center" vertical="center"/>
    </xf>
    <xf numFmtId="49" fontId="5" fillId="2" borderId="5" xfId="0" applyNumberFormat="1" applyFont="1" applyFill="1" applyBorder="1" applyAlignment="1" applyProtection="1">
      <alignment vertical="center"/>
      <protection locked="0"/>
    </xf>
    <xf numFmtId="3" fontId="5" fillId="2" borderId="36" xfId="0" applyNumberFormat="1" applyFont="1" applyFill="1" applyBorder="1" applyAlignment="1" applyProtection="1">
      <alignment vertical="center"/>
      <protection locked="0"/>
    </xf>
    <xf numFmtId="3" fontId="9" fillId="2" borderId="6" xfId="0" applyNumberFormat="1" applyFont="1" applyFill="1" applyBorder="1" applyAlignment="1" applyProtection="1">
      <alignment vertical="center"/>
      <protection locked="0"/>
    </xf>
    <xf numFmtId="3" fontId="5" fillId="2" borderId="9" xfId="0" applyNumberFormat="1" applyFont="1" applyFill="1" applyBorder="1" applyAlignment="1" applyProtection="1">
      <alignment vertical="center"/>
      <protection locked="0"/>
    </xf>
    <xf numFmtId="3" fontId="5" fillId="2" borderId="37" xfId="0" applyNumberFormat="1" applyFont="1" applyFill="1" applyBorder="1" applyAlignment="1" applyProtection="1">
      <alignment vertical="center"/>
      <protection locked="0"/>
    </xf>
    <xf numFmtId="3" fontId="9" fillId="2" borderId="10" xfId="0" applyNumberFormat="1" applyFont="1" applyFill="1" applyBorder="1" applyAlignment="1" applyProtection="1">
      <alignment vertical="center"/>
      <protection locked="0"/>
    </xf>
    <xf numFmtId="3" fontId="5" fillId="2" borderId="47" xfId="0" applyNumberFormat="1" applyFont="1" applyFill="1" applyBorder="1" applyAlignment="1" applyProtection="1">
      <alignment vertical="center"/>
      <protection locked="0"/>
    </xf>
    <xf numFmtId="3" fontId="5" fillId="2" borderId="48" xfId="0" applyNumberFormat="1" applyFont="1" applyFill="1" applyBorder="1" applyAlignment="1" applyProtection="1">
      <alignment vertical="center"/>
      <protection locked="0"/>
    </xf>
    <xf numFmtId="3" fontId="9" fillId="2" borderId="49" xfId="0" applyNumberFormat="1" applyFont="1" applyFill="1" applyBorder="1" applyAlignment="1" applyProtection="1">
      <alignment vertical="center"/>
      <protection locked="0"/>
    </xf>
    <xf numFmtId="3" fontId="5" fillId="2" borderId="68" xfId="0" applyNumberFormat="1" applyFont="1" applyFill="1" applyBorder="1" applyAlignment="1" applyProtection="1">
      <alignment vertical="center"/>
      <protection locked="0"/>
    </xf>
    <xf numFmtId="3" fontId="5" fillId="2" borderId="69" xfId="0" applyNumberFormat="1" applyFont="1" applyFill="1" applyBorder="1" applyAlignment="1" applyProtection="1">
      <alignment vertical="center"/>
      <protection locked="0"/>
    </xf>
    <xf numFmtId="3" fontId="9" fillId="2" borderId="70" xfId="0" applyNumberFormat="1" applyFont="1" applyFill="1" applyBorder="1" applyAlignment="1" applyProtection="1">
      <alignment vertical="center"/>
      <protection locked="0"/>
    </xf>
    <xf numFmtId="3" fontId="5" fillId="2" borderId="73" xfId="0" applyNumberFormat="1" applyFont="1" applyFill="1" applyBorder="1" applyAlignment="1" applyProtection="1">
      <alignment vertical="center"/>
      <protection locked="0"/>
    </xf>
    <xf numFmtId="3" fontId="9" fillId="2" borderId="74" xfId="0" applyNumberFormat="1" applyFont="1" applyFill="1" applyBorder="1" applyAlignment="1" applyProtection="1">
      <alignment vertical="center"/>
      <protection locked="0"/>
    </xf>
    <xf numFmtId="3" fontId="5" fillId="2" borderId="44" xfId="0" applyNumberFormat="1" applyFont="1" applyFill="1" applyBorder="1" applyAlignment="1" applyProtection="1">
      <alignment vertical="center"/>
      <protection locked="0"/>
    </xf>
    <xf numFmtId="3" fontId="9" fillId="2" borderId="45" xfId="0" applyNumberFormat="1" applyFont="1" applyFill="1" applyBorder="1" applyAlignment="1" applyProtection="1">
      <alignment vertical="center"/>
      <protection locked="0"/>
    </xf>
    <xf numFmtId="3" fontId="6" fillId="2" borderId="0" xfId="0" applyNumberFormat="1" applyFont="1" applyFill="1" applyAlignment="1" applyProtection="1">
      <alignment horizontal="fill" vertical="top"/>
      <protection locked="0"/>
    </xf>
    <xf numFmtId="3" fontId="6" fillId="2" borderId="0" xfId="0" applyNumberFormat="1" applyFont="1" applyFill="1" applyAlignment="1" applyProtection="1">
      <alignment horizontal="right" vertical="top"/>
      <protection locked="0"/>
    </xf>
    <xf numFmtId="0" fontId="8" fillId="2" borderId="0" xfId="0" applyNumberFormat="1" applyFont="1" applyFill="1" applyAlignment="1" applyProtection="1">
      <alignment vertical="top"/>
      <protection locked="0"/>
    </xf>
    <xf numFmtId="3" fontId="1" fillId="2" borderId="0" xfId="0" applyNumberFormat="1" applyFont="1" applyFill="1" applyAlignment="1" applyProtection="1">
      <alignment horizontal="fill" vertical="top"/>
      <protection locked="0"/>
    </xf>
    <xf numFmtId="3" fontId="1" fillId="2" borderId="0" xfId="0" applyNumberFormat="1" applyFont="1" applyFill="1" applyAlignment="1" applyProtection="1">
      <alignment vertical="top"/>
      <protection locked="0"/>
    </xf>
    <xf numFmtId="0" fontId="1" fillId="2" borderId="0" xfId="0" applyNumberFormat="1" applyFont="1" applyFill="1" applyAlignment="1">
      <alignment vertical="top"/>
    </xf>
    <xf numFmtId="3" fontId="6" fillId="2" borderId="0" xfId="0" applyNumberFormat="1" applyFont="1" applyFill="1" applyAlignment="1" applyProtection="1">
      <alignment vertical="top"/>
      <protection locked="0"/>
    </xf>
    <xf numFmtId="0" fontId="7" fillId="0" borderId="0" xfId="0" applyFont="1" applyAlignment="1">
      <alignment vertical="top"/>
    </xf>
    <xf numFmtId="3" fontId="4" fillId="0" borderId="0" xfId="0" applyNumberFormat="1" applyFont="1" applyBorder="1" applyAlignment="1">
      <alignment vertical="top"/>
    </xf>
    <xf numFmtId="0" fontId="13" fillId="0" borderId="0" xfId="0" applyFont="1" applyAlignment="1">
      <alignment vertical="top"/>
    </xf>
    <xf numFmtId="3" fontId="4" fillId="0" borderId="0" xfId="0" applyNumberFormat="1" applyFont="1" applyAlignment="1">
      <alignment vertical="top"/>
    </xf>
    <xf numFmtId="3" fontId="6" fillId="0" borderId="0" xfId="0" applyNumberFormat="1" applyFont="1" applyAlignment="1">
      <alignment vertical="top"/>
    </xf>
    <xf numFmtId="3" fontId="8" fillId="0" borderId="0" xfId="0" applyNumberFormat="1" applyFont="1" applyAlignment="1">
      <alignment vertical="top"/>
    </xf>
    <xf numFmtId="3" fontId="4" fillId="0" borderId="31" xfId="0" applyNumberFormat="1" applyFont="1" applyBorder="1" applyAlignment="1">
      <alignment vertical="center"/>
    </xf>
    <xf numFmtId="3" fontId="4" fillId="0" borderId="53" xfId="0" applyNumberFormat="1" applyFont="1" applyBorder="1" applyAlignment="1">
      <alignment vertical="center"/>
    </xf>
    <xf numFmtId="3" fontId="4" fillId="0" borderId="32" xfId="0" applyNumberFormat="1" applyFont="1" applyBorder="1" applyAlignment="1">
      <alignment vertical="center"/>
    </xf>
    <xf numFmtId="3" fontId="4" fillId="0" borderId="64" xfId="0" applyNumberFormat="1" applyFont="1" applyBorder="1" applyAlignment="1">
      <alignment vertical="center"/>
    </xf>
    <xf numFmtId="3" fontId="4" fillId="0" borderId="62" xfId="0" applyNumberFormat="1" applyFont="1" applyBorder="1" applyAlignment="1">
      <alignment vertical="center"/>
    </xf>
    <xf numFmtId="3" fontId="29" fillId="0" borderId="0" xfId="0" applyNumberFormat="1" applyFont="1" applyAlignment="1">
      <alignment vertical="center"/>
    </xf>
    <xf numFmtId="3" fontId="9" fillId="2" borderId="0" xfId="0" applyNumberFormat="1" applyFont="1" applyFill="1" applyBorder="1" applyAlignment="1" applyProtection="1">
      <alignment vertical="center"/>
      <protection locked="0"/>
    </xf>
    <xf numFmtId="3" fontId="4" fillId="2" borderId="0" xfId="0" applyNumberFormat="1" applyFont="1" applyFill="1" applyBorder="1" applyAlignment="1">
      <alignment vertical="center"/>
    </xf>
    <xf numFmtId="3" fontId="4" fillId="0" borderId="0" xfId="0" applyNumberFormat="1" applyFont="1" applyBorder="1" applyAlignment="1" applyProtection="1">
      <alignment horizontal="right" vertical="center"/>
      <protection locked="0"/>
    </xf>
    <xf numFmtId="3" fontId="6" fillId="0" borderId="0" xfId="0" applyNumberFormat="1" applyFont="1" applyAlignment="1"/>
    <xf numFmtId="3" fontId="8" fillId="0" borderId="0" xfId="0" applyNumberFormat="1" applyFont="1" applyAlignment="1"/>
    <xf numFmtId="0" fontId="13" fillId="0" borderId="0" xfId="0" applyNumberFormat="1" applyFont="1" applyAlignment="1"/>
    <xf numFmtId="3" fontId="32" fillId="0" borderId="31" xfId="0" applyNumberFormat="1" applyFont="1" applyBorder="1" applyAlignment="1">
      <alignment horizontal="center" vertical="center"/>
    </xf>
    <xf numFmtId="3" fontId="32" fillId="0" borderId="15" xfId="0" applyNumberFormat="1" applyFont="1" applyBorder="1" applyAlignment="1">
      <alignment horizontal="center" vertical="center"/>
    </xf>
    <xf numFmtId="3" fontId="32" fillId="0" borderId="16" xfId="0" applyNumberFormat="1" applyFont="1" applyBorder="1" applyAlignment="1">
      <alignment horizontal="center" vertical="center"/>
    </xf>
    <xf numFmtId="3" fontId="32" fillId="0" borderId="36" xfId="0" applyNumberFormat="1" applyFont="1" applyBorder="1" applyAlignment="1" applyProtection="1">
      <alignment vertical="center"/>
      <protection locked="0"/>
    </xf>
    <xf numFmtId="3" fontId="33" fillId="0" borderId="6" xfId="0" applyNumberFormat="1" applyFont="1" applyBorder="1" applyAlignment="1" applyProtection="1">
      <alignment horizontal="left" vertical="center"/>
      <protection locked="0"/>
    </xf>
    <xf numFmtId="3" fontId="32" fillId="0" borderId="37" xfId="0" applyNumberFormat="1" applyFont="1" applyBorder="1" applyAlignment="1" applyProtection="1">
      <alignment vertical="center"/>
      <protection locked="0"/>
    </xf>
    <xf numFmtId="3" fontId="33" fillId="0" borderId="10" xfId="0" applyNumberFormat="1" applyFont="1" applyBorder="1" applyAlignment="1" applyProtection="1">
      <alignment horizontal="left" vertical="center"/>
      <protection locked="0"/>
    </xf>
    <xf numFmtId="3" fontId="32" fillId="0" borderId="37" xfId="0" applyNumberFormat="1" applyFont="1" applyBorder="1" applyAlignment="1" applyProtection="1">
      <alignment horizontal="left" vertical="center"/>
      <protection locked="0"/>
    </xf>
    <xf numFmtId="3" fontId="32" fillId="0" borderId="25" xfId="0" applyNumberFormat="1" applyFont="1" applyBorder="1" applyAlignment="1" applyProtection="1">
      <alignment horizontal="left" vertical="center"/>
      <protection locked="0"/>
    </xf>
    <xf numFmtId="3" fontId="33" fillId="0" borderId="23" xfId="0" applyNumberFormat="1" applyFont="1" applyBorder="1" applyAlignment="1" applyProtection="1">
      <alignment horizontal="left" vertical="center"/>
      <protection locked="0"/>
    </xf>
    <xf numFmtId="3" fontId="33" fillId="0" borderId="6" xfId="0" applyNumberFormat="1" applyFont="1" applyBorder="1" applyAlignment="1" applyProtection="1">
      <alignment vertical="center"/>
      <protection locked="0"/>
    </xf>
    <xf numFmtId="3" fontId="33" fillId="0" borderId="10" xfId="0" applyNumberFormat="1" applyFont="1" applyBorder="1" applyAlignment="1" applyProtection="1">
      <alignment vertical="center"/>
      <protection locked="0"/>
    </xf>
    <xf numFmtId="3" fontId="32" fillId="0" borderId="37" xfId="0" applyNumberFormat="1" applyFont="1" applyBorder="1" applyAlignment="1">
      <alignment vertical="center"/>
    </xf>
    <xf numFmtId="3" fontId="33" fillId="0" borderId="10" xfId="0" applyNumberFormat="1" applyFont="1" applyBorder="1" applyAlignment="1">
      <alignment vertical="center"/>
    </xf>
    <xf numFmtId="3" fontId="32" fillId="0" borderId="25" xfId="0" applyNumberFormat="1" applyFont="1" applyBorder="1" applyAlignment="1">
      <alignment vertical="center"/>
    </xf>
    <xf numFmtId="3" fontId="33" fillId="0" borderId="23" xfId="0" applyNumberFormat="1" applyFont="1" applyBorder="1" applyAlignment="1">
      <alignment vertical="center"/>
    </xf>
    <xf numFmtId="3" fontId="32" fillId="0" borderId="30" xfId="0" applyNumberFormat="1" applyFont="1" applyBorder="1" applyAlignment="1">
      <alignment vertical="center"/>
    </xf>
    <xf numFmtId="3" fontId="33" fillId="0" borderId="55" xfId="0" applyNumberFormat="1" applyFont="1" applyBorder="1" applyAlignment="1">
      <alignment vertical="center"/>
    </xf>
    <xf numFmtId="3" fontId="34" fillId="0" borderId="11" xfId="0" applyNumberFormat="1" applyFont="1" applyBorder="1" applyAlignment="1" applyProtection="1">
      <alignment horizontal="right" vertical="center"/>
      <protection locked="0"/>
    </xf>
    <xf numFmtId="3" fontId="34" fillId="0" borderId="11" xfId="0" applyNumberFormat="1" applyFont="1" applyBorder="1" applyAlignment="1">
      <alignment horizontal="right" vertical="center"/>
    </xf>
    <xf numFmtId="3" fontId="34" fillId="0" borderId="12" xfId="0" applyNumberFormat="1" applyFont="1" applyBorder="1" applyAlignment="1">
      <alignment horizontal="right" vertical="center"/>
    </xf>
    <xf numFmtId="3" fontId="34" fillId="0" borderId="51" xfId="0" applyNumberFormat="1" applyFont="1" applyBorder="1" applyAlignment="1" applyProtection="1">
      <alignment horizontal="right" vertical="center"/>
      <protection locked="0"/>
    </xf>
    <xf numFmtId="3" fontId="34" fillId="0" borderId="51" xfId="0" applyNumberFormat="1" applyFont="1" applyBorder="1" applyAlignment="1">
      <alignment horizontal="right" vertical="center"/>
    </xf>
    <xf numFmtId="3" fontId="34" fillId="0" borderId="26" xfId="0" applyNumberFormat="1" applyFont="1" applyBorder="1" applyAlignment="1">
      <alignment horizontal="right" vertical="center"/>
    </xf>
    <xf numFmtId="3" fontId="34" fillId="0" borderId="46" xfId="0" applyNumberFormat="1" applyFont="1" applyBorder="1" applyAlignment="1">
      <alignment horizontal="right" vertical="center"/>
    </xf>
    <xf numFmtId="3" fontId="34" fillId="0" borderId="42" xfId="0" applyNumberFormat="1" applyFont="1" applyBorder="1" applyAlignment="1">
      <alignment horizontal="right" vertical="center"/>
    </xf>
    <xf numFmtId="3" fontId="34" fillId="0" borderId="32" xfId="0" applyNumberFormat="1" applyFont="1" applyBorder="1" applyAlignment="1">
      <alignment horizontal="right" vertical="center"/>
    </xf>
    <xf numFmtId="3" fontId="34" fillId="0" borderId="76" xfId="0" applyNumberFormat="1" applyFont="1" applyBorder="1" applyAlignment="1">
      <alignment horizontal="right" vertical="center"/>
    </xf>
    <xf numFmtId="0" fontId="13" fillId="0" borderId="0" xfId="0" applyFont="1" applyAlignment="1"/>
    <xf numFmtId="3" fontId="26" fillId="0" borderId="0" xfId="0" applyNumberFormat="1" applyFont="1" applyAlignment="1"/>
    <xf numFmtId="3" fontId="25" fillId="0" borderId="0" xfId="0" applyNumberFormat="1" applyFont="1" applyAlignment="1">
      <alignment horizontal="left"/>
    </xf>
    <xf numFmtId="0" fontId="0" fillId="0" borderId="0" xfId="0" applyAlignment="1">
      <alignment vertical="center"/>
    </xf>
    <xf numFmtId="3" fontId="6" fillId="2" borderId="0" xfId="0" applyNumberFormat="1" applyFont="1" applyFill="1" applyAlignment="1" applyProtection="1">
      <alignment vertical="center"/>
      <protection locked="0"/>
    </xf>
    <xf numFmtId="3" fontId="8" fillId="2" borderId="0" xfId="0" applyNumberFormat="1" applyFont="1" applyFill="1" applyAlignment="1" applyProtection="1">
      <alignment vertical="center"/>
      <protection locked="0"/>
    </xf>
    <xf numFmtId="3" fontId="4" fillId="2" borderId="10" xfId="0" applyNumberFormat="1" applyFont="1" applyFill="1" applyBorder="1" applyAlignment="1" applyProtection="1">
      <alignment horizontal="left" vertical="center" wrapText="1"/>
      <protection locked="0"/>
    </xf>
    <xf numFmtId="3" fontId="9" fillId="0" borderId="0" xfId="0" applyNumberFormat="1" applyFont="1" applyBorder="1" applyAlignment="1" applyProtection="1">
      <alignment vertical="center"/>
      <protection locked="0"/>
    </xf>
    <xf numFmtId="3" fontId="4" fillId="0" borderId="0" xfId="0" applyNumberFormat="1" applyFont="1" applyBorder="1" applyAlignment="1">
      <alignment horizontal="right" vertical="center"/>
    </xf>
    <xf numFmtId="3" fontId="34" fillId="0" borderId="0" xfId="0" applyNumberFormat="1" applyFont="1" applyBorder="1" applyAlignment="1">
      <alignment horizontal="right" vertical="center"/>
    </xf>
    <xf numFmtId="3" fontId="35" fillId="0" borderId="0" xfId="0" applyNumberFormat="1" applyFont="1" applyAlignment="1">
      <alignment vertical="center"/>
    </xf>
    <xf numFmtId="0" fontId="36" fillId="0" borderId="0" xfId="0" applyFont="1" applyAlignment="1">
      <alignment vertical="center"/>
    </xf>
    <xf numFmtId="3" fontId="37" fillId="0" borderId="0" xfId="0" applyNumberFormat="1" applyFont="1" applyAlignment="1">
      <alignment vertical="center"/>
    </xf>
    <xf numFmtId="1" fontId="5" fillId="2" borderId="0" xfId="0" applyNumberFormat="1" applyFont="1" applyFill="1" applyBorder="1" applyAlignment="1" applyProtection="1">
      <alignment horizontal="right" vertical="center"/>
      <protection locked="0"/>
    </xf>
    <xf numFmtId="3" fontId="6" fillId="2" borderId="0" xfId="0" applyNumberFormat="1" applyFont="1" applyFill="1" applyBorder="1" applyAlignment="1" applyProtection="1">
      <alignment vertical="center"/>
      <protection locked="0"/>
    </xf>
    <xf numFmtId="3" fontId="8" fillId="2" borderId="0" xfId="0" applyNumberFormat="1" applyFont="1" applyFill="1" applyBorder="1" applyAlignment="1" applyProtection="1">
      <alignment vertical="center"/>
      <protection locked="0"/>
    </xf>
    <xf numFmtId="3" fontId="4" fillId="0" borderId="11" xfId="1" applyNumberFormat="1" applyFont="1" applyBorder="1" applyAlignment="1" applyProtection="1">
      <alignment horizontal="right" vertical="center"/>
      <protection locked="0"/>
    </xf>
    <xf numFmtId="3" fontId="4" fillId="0" borderId="79" xfId="1" applyNumberFormat="1" applyFont="1" applyBorder="1" applyAlignment="1">
      <alignment vertical="center"/>
    </xf>
    <xf numFmtId="0" fontId="38" fillId="0" borderId="0" xfId="0" applyFont="1"/>
    <xf numFmtId="49" fontId="38" fillId="0" borderId="0" xfId="0" applyNumberFormat="1" applyFont="1"/>
    <xf numFmtId="3" fontId="3" fillId="0" borderId="0" xfId="0" applyNumberFormat="1" applyFont="1" applyAlignment="1">
      <alignment vertical="center"/>
    </xf>
    <xf numFmtId="0" fontId="39" fillId="0" borderId="0" xfId="0" applyFont="1"/>
    <xf numFmtId="0" fontId="31" fillId="0" borderId="0" xfId="0" applyFont="1"/>
    <xf numFmtId="0" fontId="39" fillId="0" borderId="0" xfId="0" applyFont="1" applyAlignment="1">
      <alignment vertical="center"/>
    </xf>
    <xf numFmtId="3" fontId="4" fillId="0" borderId="11" xfId="0" applyNumberFormat="1" applyFont="1" applyBorder="1" applyAlignment="1">
      <alignment vertical="center"/>
    </xf>
    <xf numFmtId="3" fontId="4" fillId="0" borderId="59" xfId="0" applyNumberFormat="1" applyFont="1" applyBorder="1" applyAlignment="1">
      <alignment vertical="center"/>
    </xf>
    <xf numFmtId="3" fontId="5" fillId="0" borderId="55" xfId="0" applyNumberFormat="1" applyFont="1" applyBorder="1" applyAlignment="1">
      <alignment vertical="center"/>
    </xf>
    <xf numFmtId="3" fontId="5" fillId="0" borderId="15" xfId="0" applyNumberFormat="1" applyFont="1" applyBorder="1" applyAlignment="1">
      <alignment horizontal="left" vertical="top"/>
    </xf>
    <xf numFmtId="3" fontId="9" fillId="0" borderId="15" xfId="0" applyNumberFormat="1" applyFont="1" applyBorder="1" applyAlignment="1">
      <alignment horizontal="left" vertical="top"/>
    </xf>
    <xf numFmtId="3" fontId="5" fillId="0" borderId="14" xfId="0" applyNumberFormat="1" applyFont="1" applyBorder="1" applyAlignment="1">
      <alignment horizontal="left" vertical="top"/>
    </xf>
    <xf numFmtId="3" fontId="42" fillId="0" borderId="22" xfId="0" applyNumberFormat="1" applyFont="1" applyBorder="1" applyAlignment="1">
      <alignment vertical="center"/>
    </xf>
    <xf numFmtId="3" fontId="42" fillId="0" borderId="23" xfId="0" applyNumberFormat="1" applyFont="1" applyBorder="1" applyAlignment="1">
      <alignment vertical="center"/>
    </xf>
    <xf numFmtId="3" fontId="34" fillId="0" borderId="61" xfId="0" applyNumberFormat="1" applyFont="1" applyBorder="1" applyAlignment="1">
      <alignment horizontal="right" vertical="center"/>
    </xf>
    <xf numFmtId="0" fontId="13" fillId="0" borderId="26" xfId="0" applyFont="1" applyBorder="1" applyAlignment="1">
      <alignment horizontal="center" vertical="center"/>
    </xf>
    <xf numFmtId="3" fontId="3" fillId="2" borderId="71" xfId="0" applyNumberFormat="1" applyFont="1" applyFill="1" applyBorder="1" applyAlignment="1" applyProtection="1">
      <alignment vertical="center"/>
      <protection locked="0"/>
    </xf>
    <xf numFmtId="0" fontId="13" fillId="0" borderId="16" xfId="0" applyFont="1" applyBorder="1" applyAlignment="1">
      <alignment horizontal="center" vertical="center"/>
    </xf>
    <xf numFmtId="3" fontId="5" fillId="2" borderId="14" xfId="0" applyNumberFormat="1" applyFont="1" applyFill="1" applyBorder="1" applyAlignment="1" applyProtection="1">
      <alignment horizontal="center" vertical="center"/>
      <protection locked="0"/>
    </xf>
    <xf numFmtId="0" fontId="13" fillId="0" borderId="15" xfId="0" applyFont="1" applyBorder="1" applyAlignment="1">
      <alignment horizontal="center" vertical="center"/>
    </xf>
    <xf numFmtId="3" fontId="5" fillId="2" borderId="66" xfId="0" applyNumberFormat="1" applyFont="1" applyFill="1" applyBorder="1" applyAlignment="1" applyProtection="1">
      <alignment horizontal="center" vertical="center"/>
      <protection locked="0"/>
    </xf>
    <xf numFmtId="0" fontId="0" fillId="0" borderId="15" xfId="0" applyBorder="1"/>
    <xf numFmtId="3" fontId="4" fillId="0" borderId="66" xfId="0" applyNumberFormat="1" applyFont="1" applyBorder="1" applyAlignment="1">
      <alignment vertical="center"/>
    </xf>
    <xf numFmtId="0" fontId="11" fillId="0" borderId="28" xfId="0" applyFont="1" applyBorder="1" applyAlignment="1">
      <alignment vertical="center"/>
    </xf>
    <xf numFmtId="0" fontId="11" fillId="0" borderId="22" xfId="0" applyFont="1" applyBorder="1" applyAlignment="1">
      <alignment vertical="center"/>
    </xf>
    <xf numFmtId="0" fontId="11" fillId="0" borderId="0" xfId="0" applyFont="1" applyBorder="1" applyAlignment="1">
      <alignment vertical="center"/>
    </xf>
    <xf numFmtId="0" fontId="11" fillId="0" borderId="16" xfId="0" applyFont="1" applyBorder="1" applyAlignment="1">
      <alignment vertical="center"/>
    </xf>
    <xf numFmtId="0" fontId="0" fillId="0" borderId="0" xfId="0" applyBorder="1" applyAlignment="1">
      <alignment vertical="center"/>
    </xf>
    <xf numFmtId="1" fontId="9" fillId="2" borderId="53" xfId="0" applyNumberFormat="1" applyFont="1" applyFill="1" applyBorder="1" applyAlignment="1" applyProtection="1">
      <alignment horizontal="center" vertical="center"/>
      <protection locked="0"/>
    </xf>
    <xf numFmtId="0" fontId="1" fillId="2" borderId="25" xfId="0" applyNumberFormat="1" applyFont="1" applyFill="1" applyBorder="1" applyAlignment="1"/>
    <xf numFmtId="3" fontId="44" fillId="0" borderId="27" xfId="0" applyNumberFormat="1" applyFont="1" applyFill="1" applyBorder="1" applyAlignment="1" applyProtection="1">
      <alignment vertical="center"/>
      <protection locked="0"/>
    </xf>
    <xf numFmtId="3" fontId="44" fillId="0" borderId="28" xfId="0" applyNumberFormat="1" applyFont="1" applyFill="1" applyBorder="1" applyAlignment="1" applyProtection="1">
      <alignment vertical="center"/>
      <protection locked="0"/>
    </xf>
    <xf numFmtId="3" fontId="44" fillId="0" borderId="33" xfId="0" applyNumberFormat="1" applyFont="1" applyFill="1" applyBorder="1" applyAlignment="1" applyProtection="1">
      <alignment vertical="center"/>
      <protection locked="0"/>
    </xf>
    <xf numFmtId="3" fontId="44" fillId="0" borderId="13" xfId="0" applyNumberFormat="1" applyFont="1" applyFill="1" applyBorder="1" applyAlignment="1" applyProtection="1">
      <alignment vertical="center"/>
      <protection locked="0"/>
    </xf>
    <xf numFmtId="3" fontId="44" fillId="0" borderId="0" xfId="0" applyNumberFormat="1" applyFont="1" applyFill="1" applyBorder="1" applyAlignment="1" applyProtection="1">
      <alignment vertical="center"/>
      <protection locked="0"/>
    </xf>
    <xf numFmtId="3" fontId="44" fillId="0" borderId="16" xfId="0" applyNumberFormat="1" applyFont="1" applyFill="1" applyBorder="1" applyAlignment="1" applyProtection="1">
      <alignment vertical="center"/>
      <protection locked="0"/>
    </xf>
    <xf numFmtId="3" fontId="44" fillId="0" borderId="29" xfId="0" applyNumberFormat="1" applyFont="1" applyFill="1" applyBorder="1" applyAlignment="1" applyProtection="1">
      <alignment vertical="center"/>
      <protection locked="0"/>
    </xf>
    <xf numFmtId="3" fontId="44" fillId="0" borderId="30" xfId="0" applyNumberFormat="1" applyFont="1" applyFill="1" applyBorder="1" applyAlignment="1" applyProtection="1">
      <alignment vertical="center"/>
      <protection locked="0"/>
    </xf>
    <xf numFmtId="3" fontId="44" fillId="0" borderId="76" xfId="0" applyNumberFormat="1" applyFont="1" applyFill="1" applyBorder="1" applyAlignment="1" applyProtection="1">
      <alignment vertical="center"/>
      <protection locked="0"/>
    </xf>
    <xf numFmtId="3" fontId="44" fillId="6" borderId="27" xfId="0" applyNumberFormat="1" applyFont="1" applyFill="1" applyBorder="1" applyAlignment="1" applyProtection="1">
      <alignment vertical="center"/>
      <protection locked="0"/>
    </xf>
    <xf numFmtId="3" fontId="44" fillId="6" borderId="28" xfId="0" applyNumberFormat="1" applyFont="1" applyFill="1" applyBorder="1" applyAlignment="1" applyProtection="1">
      <alignment vertical="center"/>
      <protection locked="0"/>
    </xf>
    <xf numFmtId="3" fontId="44" fillId="6" borderId="33" xfId="0" applyNumberFormat="1" applyFont="1" applyFill="1" applyBorder="1" applyAlignment="1" applyProtection="1">
      <alignment vertical="center"/>
      <protection locked="0"/>
    </xf>
    <xf numFmtId="3" fontId="44" fillId="6" borderId="13" xfId="0" applyNumberFormat="1" applyFont="1" applyFill="1" applyBorder="1" applyAlignment="1" applyProtection="1">
      <alignment vertical="center"/>
      <protection locked="0"/>
    </xf>
    <xf numFmtId="3" fontId="44" fillId="6" borderId="0" xfId="0" applyNumberFormat="1" applyFont="1" applyFill="1" applyBorder="1" applyAlignment="1" applyProtection="1">
      <alignment vertical="center"/>
      <protection locked="0"/>
    </xf>
    <xf numFmtId="3" fontId="44" fillId="6" borderId="16" xfId="0" applyNumberFormat="1" applyFont="1" applyFill="1" applyBorder="1" applyAlignment="1" applyProtection="1">
      <alignment vertical="center"/>
      <protection locked="0"/>
    </xf>
    <xf numFmtId="3" fontId="44" fillId="6" borderId="29" xfId="0" applyNumberFormat="1" applyFont="1" applyFill="1" applyBorder="1" applyAlignment="1" applyProtection="1">
      <alignment vertical="center"/>
      <protection locked="0"/>
    </xf>
    <xf numFmtId="3" fontId="44" fillId="6" borderId="30" xfId="0" applyNumberFormat="1" applyFont="1" applyFill="1" applyBorder="1" applyAlignment="1" applyProtection="1">
      <alignment vertical="center"/>
      <protection locked="0"/>
    </xf>
    <xf numFmtId="3" fontId="44" fillId="6" borderId="76" xfId="0" applyNumberFormat="1" applyFont="1" applyFill="1" applyBorder="1" applyAlignment="1" applyProtection="1">
      <alignment vertical="center"/>
      <protection locked="0"/>
    </xf>
    <xf numFmtId="3" fontId="44" fillId="6" borderId="27" xfId="0" applyNumberFormat="1" applyFont="1" applyFill="1" applyBorder="1" applyAlignment="1">
      <alignment vertical="center"/>
    </xf>
    <xf numFmtId="3" fontId="44" fillId="6" borderId="28" xfId="0" applyNumberFormat="1" applyFont="1" applyFill="1" applyBorder="1" applyAlignment="1">
      <alignment vertical="center"/>
    </xf>
    <xf numFmtId="3" fontId="44" fillId="6" borderId="33" xfId="0" applyNumberFormat="1" applyFont="1" applyFill="1" applyBorder="1" applyAlignment="1">
      <alignment vertical="center"/>
    </xf>
    <xf numFmtId="3" fontId="44" fillId="6" borderId="13" xfId="0" applyNumberFormat="1" applyFont="1" applyFill="1" applyBorder="1" applyAlignment="1">
      <alignment vertical="center"/>
    </xf>
    <xf numFmtId="3" fontId="44" fillId="6" borderId="0" xfId="0" applyNumberFormat="1" applyFont="1" applyFill="1" applyBorder="1" applyAlignment="1">
      <alignment vertical="center"/>
    </xf>
    <xf numFmtId="3" fontId="44" fillId="6" borderId="16" xfId="0" applyNumberFormat="1" applyFont="1" applyFill="1" applyBorder="1" applyAlignment="1">
      <alignment vertical="center"/>
    </xf>
    <xf numFmtId="3" fontId="45" fillId="6" borderId="13" xfId="0" applyNumberFormat="1" applyFont="1" applyFill="1" applyBorder="1" applyAlignment="1">
      <alignment vertical="center"/>
    </xf>
    <xf numFmtId="3" fontId="45" fillId="6" borderId="0" xfId="0" applyNumberFormat="1" applyFont="1" applyFill="1" applyBorder="1" applyAlignment="1">
      <alignment vertical="center"/>
    </xf>
    <xf numFmtId="3" fontId="45" fillId="6" borderId="16" xfId="0" applyNumberFormat="1" applyFont="1" applyFill="1" applyBorder="1" applyAlignment="1">
      <alignment vertical="center"/>
    </xf>
    <xf numFmtId="3" fontId="45" fillId="6" borderId="29" xfId="0" applyNumberFormat="1" applyFont="1" applyFill="1" applyBorder="1" applyAlignment="1">
      <alignment vertical="center"/>
    </xf>
    <xf numFmtId="3" fontId="45" fillId="6" borderId="30" xfId="0" applyNumberFormat="1" applyFont="1" applyFill="1" applyBorder="1" applyAlignment="1">
      <alignment vertical="center"/>
    </xf>
    <xf numFmtId="3" fontId="45" fillId="6" borderId="76" xfId="0" applyNumberFormat="1" applyFont="1" applyFill="1" applyBorder="1" applyAlignment="1">
      <alignment vertical="center"/>
    </xf>
    <xf numFmtId="3" fontId="44" fillId="6" borderId="28" xfId="0" applyNumberFormat="1" applyFont="1" applyFill="1" applyBorder="1" applyAlignment="1"/>
    <xf numFmtId="3" fontId="44" fillId="6" borderId="33" xfId="0" applyNumberFormat="1" applyFont="1" applyFill="1" applyBorder="1" applyAlignment="1"/>
    <xf numFmtId="3" fontId="44" fillId="6" borderId="0" xfId="0" applyNumberFormat="1" applyFont="1" applyFill="1" applyBorder="1" applyAlignment="1"/>
    <xf numFmtId="3" fontId="44" fillId="6" borderId="16" xfId="0" applyNumberFormat="1" applyFont="1" applyFill="1" applyBorder="1" applyAlignment="1"/>
    <xf numFmtId="3" fontId="49" fillId="6" borderId="28" xfId="0" applyNumberFormat="1" applyFont="1" applyFill="1" applyBorder="1" applyAlignment="1">
      <alignment vertical="center"/>
    </xf>
    <xf numFmtId="3" fontId="49" fillId="6" borderId="33" xfId="0" applyNumberFormat="1" applyFont="1" applyFill="1" applyBorder="1" applyAlignment="1">
      <alignment vertical="center"/>
    </xf>
    <xf numFmtId="3" fontId="49" fillId="6" borderId="0" xfId="0" applyNumberFormat="1" applyFont="1" applyFill="1" applyBorder="1" applyAlignment="1">
      <alignment vertical="center"/>
    </xf>
    <xf numFmtId="3" fontId="49" fillId="6" borderId="16" xfId="0" applyNumberFormat="1" applyFont="1" applyFill="1" applyBorder="1" applyAlignment="1">
      <alignment vertical="center"/>
    </xf>
    <xf numFmtId="0" fontId="31" fillId="6" borderId="0" xfId="0" applyFont="1" applyFill="1" applyBorder="1" applyAlignment="1">
      <alignment vertical="center"/>
    </xf>
    <xf numFmtId="0" fontId="31" fillId="6" borderId="16" xfId="0" applyFont="1" applyFill="1" applyBorder="1" applyAlignment="1">
      <alignment vertical="center"/>
    </xf>
    <xf numFmtId="3" fontId="45" fillId="6" borderId="13" xfId="0" applyNumberFormat="1" applyFont="1" applyFill="1" applyBorder="1" applyAlignment="1" applyProtection="1">
      <alignment vertical="center" wrapText="1"/>
      <protection locked="0"/>
    </xf>
    <xf numFmtId="3" fontId="45" fillId="6" borderId="0" xfId="0" applyNumberFormat="1" applyFont="1" applyFill="1" applyBorder="1" applyAlignment="1" applyProtection="1">
      <alignment vertical="center" wrapText="1"/>
      <protection locked="0"/>
    </xf>
    <xf numFmtId="3" fontId="45" fillId="6" borderId="16" xfId="0" applyNumberFormat="1" applyFont="1" applyFill="1" applyBorder="1" applyAlignment="1" applyProtection="1">
      <alignment vertical="center" wrapText="1"/>
      <protection locked="0"/>
    </xf>
    <xf numFmtId="3" fontId="5" fillId="2" borderId="71" xfId="0" applyNumberFormat="1" applyFont="1" applyFill="1" applyBorder="1" applyAlignment="1" applyProtection="1">
      <alignment vertical="center"/>
      <protection locked="0"/>
    </xf>
    <xf numFmtId="0" fontId="14" fillId="0" borderId="0" xfId="0" applyFont="1" applyBorder="1" applyAlignment="1">
      <alignment vertical="center"/>
    </xf>
    <xf numFmtId="0" fontId="14" fillId="0" borderId="14" xfId="0" applyFont="1" applyBorder="1" applyAlignment="1">
      <alignment vertical="center"/>
    </xf>
    <xf numFmtId="0" fontId="14" fillId="0" borderId="16" xfId="0" applyFont="1" applyBorder="1" applyAlignment="1">
      <alignment vertical="center"/>
    </xf>
    <xf numFmtId="3" fontId="9" fillId="2" borderId="54" xfId="0" applyNumberFormat="1" applyFont="1" applyFill="1" applyBorder="1" applyAlignment="1" applyProtection="1">
      <alignment vertical="center"/>
      <protection locked="0"/>
    </xf>
    <xf numFmtId="0" fontId="15" fillId="0" borderId="25" xfId="0" applyFont="1" applyBorder="1" applyAlignment="1">
      <alignment vertical="center"/>
    </xf>
    <xf numFmtId="0" fontId="15" fillId="0" borderId="23" xfId="0" applyFont="1" applyBorder="1" applyAlignment="1">
      <alignment vertical="center"/>
    </xf>
    <xf numFmtId="3" fontId="4" fillId="2" borderId="10" xfId="0" applyNumberFormat="1" applyFont="1" applyFill="1" applyBorder="1" applyAlignment="1" applyProtection="1">
      <alignment vertical="center" wrapText="1"/>
      <protection locked="0"/>
    </xf>
    <xf numFmtId="3" fontId="45" fillId="0" borderId="13" xfId="0" applyNumberFormat="1" applyFont="1" applyFill="1" applyBorder="1" applyAlignment="1" applyProtection="1">
      <alignment vertical="center" wrapText="1"/>
      <protection locked="0"/>
    </xf>
    <xf numFmtId="3" fontId="45" fillId="0" borderId="0" xfId="0" applyNumberFormat="1" applyFont="1" applyFill="1" applyBorder="1" applyAlignment="1" applyProtection="1">
      <alignment vertical="center" wrapText="1"/>
      <protection locked="0"/>
    </xf>
    <xf numFmtId="3" fontId="45" fillId="0" borderId="16" xfId="0" applyNumberFormat="1" applyFont="1" applyFill="1" applyBorder="1" applyAlignment="1" applyProtection="1">
      <alignment vertical="center" wrapText="1"/>
      <protection locked="0"/>
    </xf>
    <xf numFmtId="3" fontId="5" fillId="2" borderId="54" xfId="0" applyNumberFormat="1" applyFont="1" applyFill="1" applyBorder="1" applyAlignment="1" applyProtection="1">
      <alignment vertical="center"/>
      <protection locked="0"/>
    </xf>
    <xf numFmtId="0" fontId="14" fillId="0" borderId="25" xfId="0" applyFont="1" applyBorder="1" applyAlignment="1">
      <alignment vertical="center"/>
    </xf>
    <xf numFmtId="0" fontId="14" fillId="0" borderId="26" xfId="0" applyFont="1" applyBorder="1" applyAlignment="1">
      <alignment vertical="center"/>
    </xf>
    <xf numFmtId="0" fontId="27" fillId="6" borderId="0" xfId="0" applyFont="1" applyFill="1" applyBorder="1" applyAlignment="1">
      <alignment vertical="center"/>
    </xf>
    <xf numFmtId="0" fontId="27" fillId="6" borderId="16" xfId="0" applyFont="1" applyFill="1" applyBorder="1" applyAlignment="1">
      <alignment vertical="center"/>
    </xf>
    <xf numFmtId="0" fontId="28" fillId="6" borderId="30" xfId="0" applyFont="1" applyFill="1" applyBorder="1" applyAlignment="1">
      <alignment vertical="center"/>
    </xf>
    <xf numFmtId="0" fontId="28" fillId="6" borderId="76" xfId="0" applyFont="1" applyFill="1" applyBorder="1" applyAlignment="1">
      <alignment vertical="center"/>
    </xf>
    <xf numFmtId="0" fontId="28" fillId="6" borderId="0" xfId="0" applyFont="1" applyFill="1" applyBorder="1" applyAlignment="1"/>
    <xf numFmtId="0" fontId="28" fillId="6" borderId="16" xfId="0" applyFont="1" applyFill="1" applyBorder="1" applyAlignment="1"/>
    <xf numFmtId="0" fontId="28" fillId="6" borderId="30" xfId="0" applyFont="1" applyFill="1" applyBorder="1" applyAlignment="1"/>
    <xf numFmtId="0" fontId="28" fillId="6" borderId="76" xfId="0" applyFont="1" applyFill="1" applyBorder="1" applyAlignment="1"/>
    <xf numFmtId="0" fontId="47" fillId="6" borderId="0" xfId="0" applyFont="1" applyFill="1" applyBorder="1" applyAlignment="1">
      <alignment vertical="center"/>
    </xf>
    <xf numFmtId="0" fontId="47" fillId="6" borderId="16" xfId="0" applyFont="1" applyFill="1" applyBorder="1" applyAlignment="1">
      <alignment vertical="center"/>
    </xf>
    <xf numFmtId="0" fontId="48" fillId="6" borderId="30" xfId="0" applyFont="1" applyFill="1" applyBorder="1" applyAlignment="1">
      <alignment vertical="center"/>
    </xf>
    <xf numFmtId="0" fontId="48" fillId="6" borderId="76" xfId="0" applyFont="1" applyFill="1" applyBorder="1" applyAlignment="1">
      <alignment vertical="center"/>
    </xf>
    <xf numFmtId="3" fontId="5" fillId="0" borderId="35" xfId="0" applyNumberFormat="1" applyFont="1" applyBorder="1" applyAlignment="1">
      <alignment vertical="center" wrapText="1"/>
    </xf>
    <xf numFmtId="3" fontId="5" fillId="0" borderId="51" xfId="0" applyNumberFormat="1" applyFont="1" applyBorder="1" applyAlignment="1">
      <alignment vertical="center" wrapText="1"/>
    </xf>
    <xf numFmtId="3" fontId="42" fillId="0" borderId="35" xfId="0" applyNumberFormat="1" applyFont="1" applyBorder="1" applyAlignment="1">
      <alignment vertical="center" wrapText="1"/>
    </xf>
    <xf numFmtId="3" fontId="42" fillId="0" borderId="51" xfId="0" applyNumberFormat="1" applyFont="1" applyBorder="1" applyAlignment="1">
      <alignment vertical="center" wrapText="1"/>
    </xf>
    <xf numFmtId="3" fontId="32" fillId="0" borderId="77" xfId="0" applyNumberFormat="1" applyFont="1" applyBorder="1" applyAlignment="1">
      <alignment vertical="center"/>
    </xf>
    <xf numFmtId="3" fontId="32" fillId="0" borderId="0" xfId="0" applyNumberFormat="1" applyFont="1" applyBorder="1" applyAlignment="1">
      <alignment vertical="center"/>
    </xf>
    <xf numFmtId="3" fontId="32" fillId="0" borderId="71" xfId="0" applyNumberFormat="1" applyFont="1" applyBorder="1" applyAlignment="1">
      <alignment vertical="center"/>
    </xf>
    <xf numFmtId="3" fontId="32" fillId="0" borderId="14" xfId="0" applyNumberFormat="1" applyFont="1" applyBorder="1" applyAlignment="1">
      <alignment vertical="center"/>
    </xf>
    <xf numFmtId="3" fontId="33" fillId="0" borderId="71" xfId="0" applyNumberFormat="1" applyFont="1" applyBorder="1" applyAlignment="1">
      <alignment vertical="center"/>
    </xf>
    <xf numFmtId="3" fontId="33" fillId="0" borderId="0" xfId="0" applyNumberFormat="1" applyFont="1" applyBorder="1" applyAlignment="1">
      <alignment vertical="center"/>
    </xf>
    <xf numFmtId="3" fontId="33" fillId="0" borderId="16" xfId="0" applyNumberFormat="1" applyFont="1" applyBorder="1" applyAlignment="1">
      <alignment vertical="center"/>
    </xf>
    <xf numFmtId="3" fontId="33" fillId="0" borderId="54" xfId="0" applyNumberFormat="1" applyFont="1" applyBorder="1" applyAlignment="1">
      <alignment vertical="center"/>
    </xf>
    <xf numFmtId="3" fontId="33" fillId="0" borderId="25" xfId="0" applyNumberFormat="1" applyFont="1" applyBorder="1" applyAlignment="1">
      <alignment vertical="center"/>
    </xf>
    <xf numFmtId="3" fontId="33" fillId="0" borderId="26" xfId="0" applyNumberFormat="1" applyFont="1" applyBorder="1" applyAlignment="1">
      <alignment vertical="center"/>
    </xf>
    <xf numFmtId="3" fontId="45" fillId="6" borderId="13" xfId="0" applyNumberFormat="1" applyFont="1" applyFill="1" applyBorder="1" applyAlignment="1" applyProtection="1">
      <alignment vertical="center"/>
      <protection locked="0"/>
    </xf>
    <xf numFmtId="3" fontId="45" fillId="6" borderId="0" xfId="0" applyNumberFormat="1" applyFont="1" applyFill="1" applyBorder="1" applyAlignment="1" applyProtection="1">
      <alignment vertical="center"/>
      <protection locked="0"/>
    </xf>
    <xf numFmtId="0" fontId="28" fillId="6" borderId="0" xfId="0" applyFont="1" applyFill="1" applyBorder="1" applyAlignment="1">
      <alignment vertical="center"/>
    </xf>
    <xf numFmtId="0" fontId="28" fillId="6" borderId="16" xfId="0" applyFont="1" applyFill="1" applyBorder="1" applyAlignment="1">
      <alignment vertical="center"/>
    </xf>
    <xf numFmtId="3" fontId="45" fillId="6" borderId="29" xfId="0" applyNumberFormat="1" applyFont="1" applyFill="1" applyBorder="1" applyAlignment="1" applyProtection="1">
      <alignment vertical="center"/>
      <protection locked="0"/>
    </xf>
    <xf numFmtId="3" fontId="45" fillId="6" borderId="30" xfId="0" applyNumberFormat="1" applyFont="1" applyFill="1" applyBorder="1" applyAlignment="1" applyProtection="1">
      <alignment vertical="center"/>
      <protection locked="0"/>
    </xf>
    <xf numFmtId="0" fontId="27" fillId="6" borderId="30" xfId="0" applyFont="1" applyFill="1" applyBorder="1" applyAlignment="1">
      <alignment vertical="center"/>
    </xf>
    <xf numFmtId="0" fontId="27" fillId="6" borderId="76" xfId="0" applyFont="1" applyFill="1" applyBorder="1" applyAlignment="1">
      <alignment vertical="center"/>
    </xf>
    <xf numFmtId="0" fontId="0" fillId="0" borderId="14" xfId="0" applyBorder="1" applyAlignment="1">
      <alignment vertical="center"/>
    </xf>
    <xf numFmtId="3" fontId="9" fillId="2" borderId="54" xfId="0" applyNumberFormat="1" applyFont="1" applyFill="1" applyBorder="1" applyAlignment="1" applyProtection="1">
      <alignment vertical="center" wrapText="1"/>
      <protection locked="0"/>
    </xf>
    <xf numFmtId="0" fontId="15" fillId="0" borderId="25" xfId="0" applyFont="1" applyBorder="1" applyAlignment="1">
      <alignment vertical="center" wrapText="1"/>
    </xf>
    <xf numFmtId="0" fontId="15" fillId="0" borderId="23" xfId="0" applyFont="1" applyBorder="1" applyAlignment="1">
      <alignment vertical="center" wrapText="1"/>
    </xf>
    <xf numFmtId="3" fontId="45" fillId="6" borderId="29" xfId="0" applyNumberFormat="1" applyFont="1" applyFill="1" applyBorder="1" applyAlignment="1">
      <alignment vertical="center" wrapText="1"/>
    </xf>
    <xf numFmtId="0" fontId="28" fillId="6" borderId="30" xfId="0" applyFont="1" applyFill="1" applyBorder="1" applyAlignment="1">
      <alignment vertical="center" wrapText="1"/>
    </xf>
    <xf numFmtId="0" fontId="28" fillId="6" borderId="76" xfId="0" applyFont="1" applyFill="1" applyBorder="1" applyAlignment="1">
      <alignment vertical="center" wrapText="1"/>
    </xf>
    <xf numFmtId="0" fontId="31" fillId="6" borderId="30" xfId="0" applyFont="1" applyFill="1" applyBorder="1" applyAlignment="1">
      <alignment vertical="center"/>
    </xf>
    <xf numFmtId="0" fontId="31" fillId="6" borderId="76" xfId="0" applyFont="1" applyFill="1" applyBorder="1" applyAlignment="1">
      <alignment vertical="center"/>
    </xf>
    <xf numFmtId="3" fontId="5" fillId="2" borderId="77" xfId="0" applyNumberFormat="1" applyFont="1" applyFill="1" applyBorder="1" applyAlignment="1" applyProtection="1">
      <alignment vertical="center"/>
      <protection locked="0"/>
    </xf>
    <xf numFmtId="0" fontId="14" fillId="0" borderId="28" xfId="0" applyFont="1" applyBorder="1" applyAlignment="1">
      <alignment vertical="center"/>
    </xf>
    <xf numFmtId="0" fontId="14" fillId="0" borderId="33" xfId="0" applyFont="1" applyBorder="1" applyAlignment="1">
      <alignment vertical="center"/>
    </xf>
    <xf numFmtId="3" fontId="5" fillId="0" borderId="62" xfId="0" applyNumberFormat="1" applyFont="1" applyBorder="1" applyAlignment="1">
      <alignment horizontal="center" vertical="center"/>
    </xf>
    <xf numFmtId="0" fontId="0" fillId="6" borderId="81" xfId="0" applyFill="1" applyBorder="1"/>
    <xf numFmtId="0" fontId="51" fillId="7" borderId="0" xfId="0" applyFont="1" applyFill="1" applyAlignment="1">
      <alignment horizontal="center" vertical="center"/>
    </xf>
    <xf numFmtId="0" fontId="51" fillId="7" borderId="0" xfId="0" applyFont="1" applyFill="1" applyAlignment="1">
      <alignment vertical="center"/>
    </xf>
    <xf numFmtId="0" fontId="0" fillId="6" borderId="82" xfId="0" applyFill="1" applyBorder="1"/>
    <xf numFmtId="0" fontId="0" fillId="6" borderId="83" xfId="0" applyFill="1" applyBorder="1"/>
    <xf numFmtId="0" fontId="0" fillId="6" borderId="0" xfId="0" applyFill="1"/>
    <xf numFmtId="0" fontId="0" fillId="6" borderId="84" xfId="0" applyFill="1" applyBorder="1"/>
    <xf numFmtId="0" fontId="52" fillId="8" borderId="0" xfId="0" applyFont="1" applyFill="1" applyAlignment="1">
      <alignment wrapText="1"/>
    </xf>
    <xf numFmtId="0" fontId="0" fillId="6" borderId="84" xfId="0" applyFill="1" applyBorder="1" applyAlignment="1">
      <alignment vertical="top"/>
    </xf>
    <xf numFmtId="0" fontId="0" fillId="6" borderId="0" xfId="0" applyFill="1" applyAlignment="1">
      <alignment vertical="top"/>
    </xf>
    <xf numFmtId="0" fontId="0" fillId="6" borderId="83" xfId="0" applyFill="1" applyBorder="1" applyAlignment="1">
      <alignment vertical="top"/>
    </xf>
    <xf numFmtId="0" fontId="53" fillId="6" borderId="0" xfId="0" applyFont="1" applyFill="1" applyAlignment="1">
      <alignment wrapText="1"/>
    </xf>
    <xf numFmtId="0" fontId="54" fillId="6" borderId="0" xfId="0" applyFont="1" applyFill="1" applyAlignment="1">
      <alignment wrapText="1"/>
    </xf>
    <xf numFmtId="0" fontId="55" fillId="6" borderId="0" xfId="0" applyFont="1" applyFill="1" applyAlignment="1">
      <alignment wrapText="1"/>
    </xf>
    <xf numFmtId="0" fontId="56" fillId="0" borderId="0" xfId="2"/>
    <xf numFmtId="0" fontId="57" fillId="6" borderId="0" xfId="2" applyFont="1" applyFill="1" applyAlignment="1">
      <alignment wrapText="1"/>
    </xf>
    <xf numFmtId="0" fontId="56" fillId="6" borderId="0" xfId="2" applyFill="1" applyAlignment="1">
      <alignment wrapText="1"/>
    </xf>
    <xf numFmtId="0" fontId="56" fillId="0" borderId="0" xfId="2" quotePrefix="1"/>
    <xf numFmtId="0" fontId="0" fillId="6" borderId="0" xfId="0" applyFill="1" applyAlignment="1">
      <alignment wrapText="1"/>
    </xf>
    <xf numFmtId="0" fontId="58" fillId="6" borderId="0" xfId="0" applyFont="1" applyFill="1"/>
    <xf numFmtId="0" fontId="0" fillId="6" borderId="0" xfId="0" quotePrefix="1" applyFill="1"/>
    <xf numFmtId="0" fontId="59" fillId="6" borderId="0" xfId="0" applyFont="1" applyFill="1" applyAlignment="1">
      <alignment vertical="center"/>
    </xf>
    <xf numFmtId="0" fontId="27" fillId="6" borderId="0" xfId="0" applyFont="1" applyFill="1"/>
    <xf numFmtId="0" fontId="27" fillId="6" borderId="0" xfId="0" applyFont="1" applyFill="1" applyAlignment="1">
      <alignment vertical="center" wrapText="1"/>
    </xf>
    <xf numFmtId="0" fontId="27" fillId="6" borderId="0" xfId="0" applyFont="1" applyFill="1" applyAlignment="1">
      <alignment vertical="center"/>
    </xf>
    <xf numFmtId="0" fontId="27" fillId="6" borderId="0" xfId="0" applyFont="1" applyFill="1" applyAlignment="1">
      <alignment wrapText="1"/>
    </xf>
    <xf numFmtId="0" fontId="0" fillId="6" borderId="86" xfId="0" applyFill="1" applyBorder="1"/>
    <xf numFmtId="0" fontId="0" fillId="6" borderId="85" xfId="0" applyFill="1" applyBorder="1"/>
    <xf numFmtId="0" fontId="0" fillId="6" borderId="86" xfId="0" applyFill="1" applyBorder="1" applyAlignment="1">
      <alignment wrapText="1"/>
    </xf>
    <xf numFmtId="0" fontId="56" fillId="6" borderId="0" xfId="2" quotePrefix="1" applyFill="1"/>
    <xf numFmtId="0" fontId="56" fillId="6" borderId="0" xfId="2" applyFill="1"/>
    <xf numFmtId="3" fontId="18" fillId="0" borderId="45" xfId="0" applyNumberFormat="1" applyFont="1" applyBorder="1" applyAlignment="1">
      <alignment vertical="center"/>
    </xf>
    <xf numFmtId="3" fontId="5" fillId="0" borderId="89" xfId="0" applyNumberFormat="1" applyFont="1" applyBorder="1" applyAlignment="1">
      <alignment vertical="center"/>
    </xf>
    <xf numFmtId="3" fontId="5" fillId="0" borderId="53" xfId="0" applyNumberFormat="1" applyFont="1" applyBorder="1" applyAlignment="1">
      <alignment vertical="center"/>
    </xf>
    <xf numFmtId="1" fontId="5" fillId="0" borderId="92" xfId="0" applyNumberFormat="1" applyFont="1" applyBorder="1" applyAlignment="1" applyProtection="1">
      <alignment horizontal="left" vertical="center"/>
      <protection locked="0"/>
    </xf>
    <xf numFmtId="3" fontId="5" fillId="0" borderId="93" xfId="0" applyNumberFormat="1" applyFont="1" applyBorder="1" applyAlignment="1" applyProtection="1">
      <alignment vertical="center"/>
      <protection locked="0"/>
    </xf>
    <xf numFmtId="3" fontId="9" fillId="0" borderId="94" xfId="0" applyNumberFormat="1" applyFont="1" applyBorder="1" applyAlignment="1" applyProtection="1">
      <alignment horizontal="left" vertical="center"/>
      <protection locked="0"/>
    </xf>
    <xf numFmtId="3" fontId="5" fillId="0" borderId="92" xfId="0" applyNumberFormat="1" applyFont="1" applyBorder="1" applyAlignment="1">
      <alignment vertical="center"/>
    </xf>
    <xf numFmtId="3" fontId="9" fillId="0" borderId="94" xfId="0" applyNumberFormat="1" applyFont="1" applyBorder="1" applyAlignment="1" applyProtection="1">
      <alignment vertical="center"/>
      <protection locked="0"/>
    </xf>
    <xf numFmtId="3" fontId="4" fillId="0" borderId="90" xfId="0" applyNumberFormat="1" applyFont="1" applyBorder="1" applyAlignment="1" applyProtection="1">
      <alignment horizontal="right" vertical="center"/>
      <protection locked="0"/>
    </xf>
    <xf numFmtId="0" fontId="13" fillId="0" borderId="93" xfId="0" applyFont="1" applyBorder="1"/>
    <xf numFmtId="3" fontId="4" fillId="0" borderId="95" xfId="0" applyNumberFormat="1" applyFont="1" applyBorder="1" applyAlignment="1">
      <alignment horizontal="right" vertical="center"/>
    </xf>
    <xf numFmtId="3" fontId="9" fillId="0" borderId="96" xfId="0" applyNumberFormat="1" applyFont="1" applyBorder="1" applyAlignment="1">
      <alignment vertical="center"/>
    </xf>
    <xf numFmtId="3" fontId="5" fillId="0" borderId="97" xfId="0" applyNumberFormat="1" applyFont="1" applyBorder="1" applyAlignment="1">
      <alignment vertical="center"/>
    </xf>
    <xf numFmtId="3" fontId="5" fillId="0" borderId="98" xfId="0" applyNumberFormat="1" applyFont="1" applyBorder="1" applyAlignment="1">
      <alignment vertical="center"/>
    </xf>
    <xf numFmtId="3" fontId="5" fillId="0" borderId="99" xfId="0" applyNumberFormat="1" applyFont="1" applyBorder="1" applyAlignment="1">
      <alignment horizontal="left" vertical="top"/>
    </xf>
    <xf numFmtId="3" fontId="4" fillId="0" borderId="99" xfId="0" applyNumberFormat="1" applyFont="1" applyBorder="1" applyAlignment="1">
      <alignment horizontal="left" vertical="top"/>
    </xf>
    <xf numFmtId="3" fontId="5" fillId="0" borderId="99" xfId="0" applyNumberFormat="1" applyFont="1" applyBorder="1" applyAlignment="1">
      <alignment horizontal="center" vertical="center"/>
    </xf>
    <xf numFmtId="3" fontId="4" fillId="0" borderId="100" xfId="0" applyNumberFormat="1" applyFont="1" applyBorder="1" applyAlignment="1">
      <alignment vertical="center"/>
    </xf>
    <xf numFmtId="3" fontId="5" fillId="0" borderId="13" xfId="0" quotePrefix="1" applyNumberFormat="1" applyFont="1" applyBorder="1" applyAlignment="1">
      <alignment vertical="center"/>
    </xf>
    <xf numFmtId="3" fontId="5" fillId="0" borderId="101" xfId="0" applyNumberFormat="1" applyFont="1" applyBorder="1" applyAlignment="1">
      <alignment vertical="center"/>
    </xf>
    <xf numFmtId="3" fontId="5" fillId="0" borderId="102" xfId="0" applyNumberFormat="1" applyFont="1" applyBorder="1" applyAlignment="1">
      <alignment vertical="center"/>
    </xf>
    <xf numFmtId="3" fontId="42" fillId="0" borderId="89" xfId="0" applyNumberFormat="1" applyFont="1" applyBorder="1" applyAlignment="1">
      <alignment vertical="center"/>
    </xf>
    <xf numFmtId="3" fontId="4" fillId="0" borderId="90" xfId="0" applyNumberFormat="1" applyFont="1" applyBorder="1" applyAlignment="1">
      <alignment vertical="center"/>
    </xf>
    <xf numFmtId="3" fontId="4" fillId="0" borderId="91" xfId="0" applyNumberFormat="1" applyFont="1" applyBorder="1" applyAlignment="1">
      <alignment vertical="center"/>
    </xf>
    <xf numFmtId="3" fontId="9" fillId="0" borderId="94" xfId="0" applyNumberFormat="1" applyFont="1" applyBorder="1" applyAlignment="1">
      <alignment vertical="center"/>
    </xf>
    <xf numFmtId="3" fontId="4" fillId="0" borderId="97" xfId="0" applyNumberFormat="1" applyFont="1" applyBorder="1" applyAlignment="1">
      <alignment vertical="center"/>
    </xf>
    <xf numFmtId="3" fontId="5" fillId="0" borderId="104" xfId="0" applyNumberFormat="1" applyFont="1" applyBorder="1" applyAlignment="1">
      <alignment vertical="center" wrapText="1"/>
    </xf>
    <xf numFmtId="3" fontId="5" fillId="0" borderId="105" xfId="0" applyNumberFormat="1" applyFont="1" applyBorder="1" applyAlignment="1">
      <alignment vertical="center" wrapText="1"/>
    </xf>
    <xf numFmtId="1" fontId="4" fillId="2" borderId="108" xfId="0" applyNumberFormat="1" applyFont="1" applyFill="1" applyBorder="1" applyAlignment="1" applyProtection="1">
      <alignment horizontal="right" vertical="center"/>
      <protection locked="0"/>
    </xf>
    <xf numFmtId="3" fontId="1" fillId="2" borderId="107" xfId="0" applyNumberFormat="1" applyFont="1" applyFill="1" applyBorder="1" applyAlignment="1" applyProtection="1">
      <protection locked="0"/>
    </xf>
    <xf numFmtId="3" fontId="34" fillId="0" borderId="106" xfId="0" applyNumberFormat="1" applyFont="1" applyBorder="1" applyAlignment="1">
      <alignment horizontal="right" vertical="center"/>
    </xf>
    <xf numFmtId="3" fontId="5" fillId="0" borderId="109" xfId="0" applyNumberFormat="1" applyFont="1" applyBorder="1" applyAlignment="1">
      <alignment horizontal="center" vertical="center"/>
    </xf>
    <xf numFmtId="3" fontId="4" fillId="0" borderId="106" xfId="1" applyNumberFormat="1" applyFont="1" applyBorder="1" applyAlignment="1" applyProtection="1">
      <alignment horizontal="right" vertical="center"/>
      <protection locked="0"/>
    </xf>
    <xf numFmtId="3" fontId="5" fillId="0" borderId="89" xfId="0" applyNumberFormat="1" applyFont="1" applyBorder="1" applyAlignment="1">
      <alignment horizontal="center" vertical="center"/>
    </xf>
    <xf numFmtId="3" fontId="43" fillId="0" borderId="25" xfId="0" applyNumberFormat="1" applyFont="1" applyBorder="1" applyAlignment="1">
      <alignment vertical="center"/>
    </xf>
    <xf numFmtId="3" fontId="9" fillId="0" borderId="110" xfId="0" applyNumberFormat="1" applyFont="1" applyBorder="1" applyAlignment="1">
      <alignment vertical="center"/>
    </xf>
    <xf numFmtId="3" fontId="43" fillId="0" borderId="111" xfId="0" applyNumberFormat="1" applyFont="1" applyBorder="1" applyAlignment="1">
      <alignment vertical="center"/>
    </xf>
    <xf numFmtId="3" fontId="43" fillId="0" borderId="112" xfId="0" applyNumberFormat="1" applyFont="1" applyBorder="1" applyAlignment="1">
      <alignment vertical="center"/>
    </xf>
    <xf numFmtId="3" fontId="43" fillId="0" borderId="113" xfId="0" applyNumberFormat="1" applyFont="1" applyBorder="1" applyAlignment="1">
      <alignment vertical="center"/>
    </xf>
    <xf numFmtId="3" fontId="43" fillId="0" borderId="110" xfId="0" applyNumberFormat="1" applyFont="1" applyBorder="1" applyAlignment="1">
      <alignment vertical="center"/>
    </xf>
    <xf numFmtId="0" fontId="44" fillId="6" borderId="28" xfId="0" applyNumberFormat="1" applyFont="1" applyFill="1" applyBorder="1" applyAlignment="1">
      <alignment vertical="center"/>
    </xf>
    <xf numFmtId="0" fontId="44" fillId="6" borderId="0" xfId="0" applyNumberFormat="1" applyFont="1" applyFill="1" applyBorder="1" applyAlignment="1">
      <alignment vertical="center"/>
    </xf>
    <xf numFmtId="0" fontId="27" fillId="6" borderId="0" xfId="0" applyNumberFormat="1" applyFont="1" applyFill="1" applyBorder="1" applyAlignment="1">
      <alignment vertical="center"/>
    </xf>
    <xf numFmtId="0" fontId="28" fillId="6" borderId="30" xfId="0" applyNumberFormat="1" applyFont="1" applyFill="1" applyBorder="1" applyAlignment="1">
      <alignment vertical="center"/>
    </xf>
    <xf numFmtId="0" fontId="4" fillId="0" borderId="28" xfId="0" applyNumberFormat="1" applyFont="1" applyBorder="1" applyAlignment="1">
      <alignment horizontal="left" vertical="center"/>
    </xf>
    <xf numFmtId="0" fontId="4" fillId="0" borderId="0" xfId="0" applyNumberFormat="1" applyFont="1" applyBorder="1" applyAlignment="1">
      <alignment horizontal="left" vertical="center"/>
    </xf>
    <xf numFmtId="0" fontId="5" fillId="0" borderId="0" xfId="0" applyNumberFormat="1" applyFont="1" applyBorder="1" applyAlignment="1" applyProtection="1">
      <alignment vertical="center"/>
      <protection locked="0"/>
    </xf>
    <xf numFmtId="0" fontId="4" fillId="0" borderId="0" xfId="0" applyNumberFormat="1" applyFont="1" applyAlignment="1">
      <alignment vertical="top"/>
    </xf>
    <xf numFmtId="0" fontId="13" fillId="0" borderId="0" xfId="0" applyNumberFormat="1" applyFont="1" applyAlignment="1">
      <alignment vertical="top"/>
    </xf>
    <xf numFmtId="0" fontId="4" fillId="0" borderId="0" xfId="0" applyNumberFormat="1" applyFont="1" applyAlignment="1">
      <alignment horizontal="left"/>
    </xf>
    <xf numFmtId="0" fontId="13" fillId="0" borderId="0" xfId="0" applyNumberFormat="1" applyFont="1" applyAlignment="1">
      <alignment horizontal="left"/>
    </xf>
    <xf numFmtId="0" fontId="44" fillId="6" borderId="27" xfId="0" applyNumberFormat="1" applyFont="1" applyFill="1" applyBorder="1" applyAlignment="1"/>
    <xf numFmtId="0" fontId="44" fillId="6" borderId="13" xfId="0" applyNumberFormat="1" applyFont="1" applyFill="1" applyBorder="1" applyAlignment="1"/>
    <xf numFmtId="0" fontId="45" fillId="6" borderId="13" xfId="0" applyNumberFormat="1" applyFont="1" applyFill="1" applyBorder="1" applyAlignment="1"/>
    <xf numFmtId="0" fontId="45" fillId="6" borderId="29" xfId="0" applyNumberFormat="1" applyFont="1" applyFill="1" applyBorder="1" applyAlignment="1"/>
    <xf numFmtId="0" fontId="5" fillId="0" borderId="13" xfId="0" applyNumberFormat="1" applyFont="1" applyBorder="1" applyAlignment="1">
      <alignment vertical="center"/>
    </xf>
    <xf numFmtId="0" fontId="0" fillId="0" borderId="0" xfId="0" applyNumberFormat="1"/>
    <xf numFmtId="0" fontId="4" fillId="0" borderId="13" xfId="0" applyNumberFormat="1" applyFont="1" applyBorder="1" applyAlignment="1">
      <alignment vertical="center"/>
    </xf>
    <xf numFmtId="0" fontId="4" fillId="0" borderId="25" xfId="0" applyNumberFormat="1" applyFont="1" applyBorder="1" applyAlignment="1">
      <alignment vertical="center"/>
    </xf>
    <xf numFmtId="0" fontId="5" fillId="0" borderId="21" xfId="0" applyNumberFormat="1" applyFont="1" applyBorder="1" applyAlignment="1">
      <alignment vertical="center"/>
    </xf>
    <xf numFmtId="0" fontId="5" fillId="0" borderId="9" xfId="0" applyNumberFormat="1" applyFont="1" applyBorder="1" applyAlignment="1">
      <alignment horizontal="left" vertical="center"/>
    </xf>
    <xf numFmtId="0" fontId="25" fillId="0" borderId="0" xfId="0" applyNumberFormat="1" applyFont="1" applyAlignment="1">
      <alignment horizontal="left"/>
    </xf>
    <xf numFmtId="0" fontId="6" fillId="0" borderId="0" xfId="0" applyNumberFormat="1" applyFont="1" applyAlignment="1"/>
    <xf numFmtId="0" fontId="0" fillId="0" borderId="0" xfId="0" applyNumberFormat="1" applyAlignment="1">
      <alignment vertical="center"/>
    </xf>
    <xf numFmtId="0" fontId="44" fillId="6" borderId="27" xfId="0" applyNumberFormat="1" applyFont="1" applyFill="1" applyBorder="1" applyAlignment="1">
      <alignment vertical="center"/>
    </xf>
    <xf numFmtId="0" fontId="44" fillId="6" borderId="13" xfId="0" applyNumberFormat="1" applyFont="1" applyFill="1" applyBorder="1" applyAlignment="1">
      <alignment vertical="center"/>
    </xf>
    <xf numFmtId="0" fontId="45" fillId="6" borderId="13" xfId="0" applyNumberFormat="1" applyFont="1" applyFill="1" applyBorder="1" applyAlignment="1">
      <alignment vertical="center"/>
    </xf>
    <xf numFmtId="0" fontId="45" fillId="6" borderId="29" xfId="0" applyNumberFormat="1" applyFont="1" applyFill="1" applyBorder="1" applyAlignment="1">
      <alignment vertical="center"/>
    </xf>
    <xf numFmtId="0" fontId="6" fillId="0" borderId="0" xfId="0" applyNumberFormat="1" applyFont="1" applyAlignment="1">
      <alignment vertical="center"/>
    </xf>
    <xf numFmtId="0" fontId="13" fillId="0" borderId="0" xfId="0" applyNumberFormat="1" applyFont="1"/>
    <xf numFmtId="0" fontId="44" fillId="6" borderId="27" xfId="0" applyNumberFormat="1" applyFont="1" applyFill="1" applyBorder="1" applyAlignment="1">
      <alignment horizontal="left" vertical="center"/>
    </xf>
    <xf numFmtId="0" fontId="44" fillId="6" borderId="13" xfId="0" applyNumberFormat="1" applyFont="1" applyFill="1" applyBorder="1" applyAlignment="1">
      <alignment horizontal="left" vertical="center"/>
    </xf>
    <xf numFmtId="0" fontId="45" fillId="6" borderId="29" xfId="0" applyNumberFormat="1" applyFont="1" applyFill="1" applyBorder="1" applyAlignment="1">
      <alignment horizontal="left" vertical="center"/>
    </xf>
    <xf numFmtId="0" fontId="4" fillId="0" borderId="13" xfId="0" applyNumberFormat="1" applyFont="1" applyBorder="1" applyAlignment="1">
      <alignment horizontal="left" vertical="center"/>
    </xf>
    <xf numFmtId="0" fontId="5" fillId="0" borderId="21" xfId="0" applyNumberFormat="1" applyFont="1" applyBorder="1" applyAlignment="1">
      <alignment horizontal="left" vertical="center"/>
    </xf>
    <xf numFmtId="0" fontId="5" fillId="0" borderId="13" xfId="0" applyNumberFormat="1" applyFont="1" applyBorder="1" applyAlignment="1">
      <alignment horizontal="left" vertical="center"/>
    </xf>
    <xf numFmtId="0" fontId="5" fillId="0" borderId="29" xfId="0" applyNumberFormat="1" applyFont="1" applyBorder="1" applyAlignment="1">
      <alignment horizontal="left" vertical="center"/>
    </xf>
    <xf numFmtId="0" fontId="6" fillId="2" borderId="0" xfId="0" applyNumberFormat="1" applyFont="1" applyFill="1" applyAlignment="1" applyProtection="1">
      <alignment horizontal="left" vertical="center"/>
      <protection locked="0"/>
    </xf>
    <xf numFmtId="0" fontId="6" fillId="0" borderId="0" xfId="0" applyNumberFormat="1" applyFont="1" applyAlignment="1">
      <alignment horizontal="left"/>
    </xf>
    <xf numFmtId="0" fontId="13" fillId="0" borderId="0" xfId="0" applyNumberFormat="1" applyFont="1" applyAlignment="1">
      <alignment horizontal="left" vertical="top"/>
    </xf>
    <xf numFmtId="0" fontId="6" fillId="0" borderId="0" xfId="0" applyNumberFormat="1" applyFont="1" applyAlignment="1">
      <alignment horizontal="left" vertical="center"/>
    </xf>
    <xf numFmtId="0" fontId="5" fillId="0" borderId="27" xfId="0" applyNumberFormat="1" applyFont="1" applyBorder="1" applyAlignment="1">
      <alignment horizontal="left" vertical="center"/>
    </xf>
    <xf numFmtId="0" fontId="13" fillId="0" borderId="97" xfId="0" applyNumberFormat="1" applyFont="1" applyBorder="1" applyAlignment="1">
      <alignment horizontal="left"/>
    </xf>
    <xf numFmtId="0" fontId="32" fillId="0" borderId="13" xfId="0" applyNumberFormat="1" applyFont="1" applyBorder="1" applyAlignment="1">
      <alignment horizontal="left" vertical="center"/>
    </xf>
    <xf numFmtId="0" fontId="32" fillId="0" borderId="9" xfId="0" applyNumberFormat="1" applyFont="1" applyBorder="1" applyAlignment="1">
      <alignment horizontal="left" vertical="center"/>
    </xf>
    <xf numFmtId="0" fontId="49" fillId="6" borderId="27" xfId="0" applyNumberFormat="1" applyFont="1" applyFill="1" applyBorder="1" applyAlignment="1">
      <alignment horizontal="left" vertical="center"/>
    </xf>
    <xf numFmtId="0" fontId="49" fillId="6" borderId="13" xfId="0" applyNumberFormat="1" applyFont="1" applyFill="1" applyBorder="1" applyAlignment="1">
      <alignment horizontal="left" vertical="center"/>
    </xf>
    <xf numFmtId="0" fontId="50" fillId="6" borderId="29" xfId="0" applyNumberFormat="1" applyFont="1" applyFill="1" applyBorder="1" applyAlignment="1">
      <alignment horizontal="left" vertical="center"/>
    </xf>
    <xf numFmtId="0" fontId="32" fillId="0" borderId="5" xfId="0" applyNumberFormat="1" applyFont="1" applyBorder="1" applyAlignment="1" applyProtection="1">
      <alignment horizontal="left" vertical="center"/>
      <protection locked="0"/>
    </xf>
    <xf numFmtId="0" fontId="32" fillId="0" borderId="21" xfId="0" applyNumberFormat="1" applyFont="1" applyBorder="1" applyAlignment="1">
      <alignment horizontal="left" vertical="center"/>
    </xf>
    <xf numFmtId="0" fontId="32" fillId="0" borderId="9" xfId="0" applyNumberFormat="1" applyFont="1" applyBorder="1" applyAlignment="1" applyProtection="1">
      <alignment horizontal="left" vertical="center"/>
      <protection locked="0"/>
    </xf>
    <xf numFmtId="0" fontId="32" fillId="0" borderId="29" xfId="0" applyNumberFormat="1" applyFont="1" applyBorder="1" applyAlignment="1">
      <alignment horizontal="left" vertical="center"/>
    </xf>
    <xf numFmtId="0" fontId="35" fillId="0" borderId="0" xfId="0" applyNumberFormat="1" applyFont="1" applyAlignment="1">
      <alignment horizontal="left" vertical="center"/>
    </xf>
    <xf numFmtId="0" fontId="5" fillId="2" borderId="5" xfId="0" applyNumberFormat="1" applyFont="1" applyFill="1" applyBorder="1" applyAlignment="1" applyProtection="1">
      <alignment horizontal="left" vertical="center"/>
      <protection locked="0"/>
    </xf>
    <xf numFmtId="0" fontId="5" fillId="0" borderId="13" xfId="0" quotePrefix="1" applyNumberFormat="1" applyFont="1" applyBorder="1" applyAlignment="1" applyProtection="1">
      <alignment horizontal="left" vertical="center"/>
      <protection locked="0"/>
    </xf>
    <xf numFmtId="0" fontId="5" fillId="0" borderId="44" xfId="0" applyFont="1" applyBorder="1" applyAlignment="1" applyProtection="1">
      <alignment horizontal="left" vertical="center"/>
      <protection locked="0"/>
    </xf>
    <xf numFmtId="0" fontId="5" fillId="2" borderId="87" xfId="0" applyFont="1" applyFill="1" applyBorder="1" applyAlignment="1" applyProtection="1">
      <alignment horizontal="left" vertical="center"/>
      <protection locked="0"/>
    </xf>
    <xf numFmtId="0" fontId="5" fillId="0" borderId="0" xfId="0" applyFont="1" applyAlignment="1" applyProtection="1">
      <alignment horizontal="left" vertical="center"/>
      <protection locked="0"/>
    </xf>
    <xf numFmtId="3" fontId="5" fillId="0" borderId="0" xfId="0" applyNumberFormat="1" applyFont="1" applyAlignment="1" applyProtection="1">
      <alignment vertical="center"/>
      <protection locked="0"/>
    </xf>
    <xf numFmtId="0" fontId="5" fillId="0" borderId="24" xfId="0" applyFont="1" applyBorder="1" applyAlignment="1" applyProtection="1">
      <alignment horizontal="left" vertical="center"/>
      <protection locked="0"/>
    </xf>
    <xf numFmtId="0" fontId="24" fillId="0" borderId="75" xfId="0" applyFont="1" applyBorder="1" applyAlignment="1" applyProtection="1">
      <alignment horizontal="left" vertical="center"/>
      <protection locked="0"/>
    </xf>
    <xf numFmtId="0" fontId="13" fillId="0" borderId="52" xfId="0" applyFont="1" applyBorder="1" applyAlignment="1" applyProtection="1">
      <alignment horizontal="left" vertical="center"/>
      <protection locked="0"/>
    </xf>
    <xf numFmtId="0" fontId="24" fillId="0" borderId="88" xfId="0" applyFont="1" applyBorder="1" applyAlignment="1" applyProtection="1">
      <alignment horizontal="left" vertical="center"/>
      <protection locked="0"/>
    </xf>
    <xf numFmtId="0" fontId="60" fillId="9" borderId="0" xfId="0" applyFont="1" applyFill="1" applyAlignment="1">
      <alignment vertical="center"/>
    </xf>
    <xf numFmtId="0" fontId="5" fillId="0" borderId="24" xfId="0" applyFont="1" applyBorder="1" applyAlignment="1">
      <alignment horizontal="left" vertical="center"/>
    </xf>
    <xf numFmtId="3" fontId="5" fillId="0" borderId="0" xfId="0" applyNumberFormat="1" applyFont="1" applyAlignment="1">
      <alignment horizontal="left" vertical="center"/>
    </xf>
    <xf numFmtId="0" fontId="5" fillId="0" borderId="5" xfId="0" applyFont="1" applyBorder="1" applyAlignment="1" applyProtection="1">
      <alignment horizontal="left" vertical="center"/>
      <protection locked="0"/>
    </xf>
    <xf numFmtId="0" fontId="5" fillId="0" borderId="9" xfId="0" applyFont="1" applyBorder="1" applyAlignment="1">
      <alignment vertical="center"/>
    </xf>
    <xf numFmtId="0" fontId="5" fillId="0" borderId="9" xfId="0" applyFont="1" applyBorder="1" applyAlignment="1">
      <alignment horizontal="left" vertical="center"/>
    </xf>
    <xf numFmtId="0" fontId="5" fillId="0" borderId="29" xfId="0" applyFont="1" applyBorder="1" applyAlignment="1">
      <alignment vertical="center"/>
    </xf>
    <xf numFmtId="0" fontId="5" fillId="0" borderId="43" xfId="0" applyFont="1" applyBorder="1" applyAlignment="1">
      <alignment horizontal="left" vertical="center"/>
    </xf>
    <xf numFmtId="0" fontId="5" fillId="0" borderId="13" xfId="0" applyFont="1" applyBorder="1" applyAlignment="1">
      <alignment horizontal="left" vertical="center"/>
    </xf>
    <xf numFmtId="0" fontId="5" fillId="0" borderId="5" xfId="0" quotePrefix="1" applyFont="1" applyBorder="1" applyAlignment="1" applyProtection="1">
      <alignment horizontal="left" vertical="center"/>
      <protection locked="0"/>
    </xf>
    <xf numFmtId="0" fontId="5" fillId="0" borderId="29" xfId="0" applyFont="1" applyBorder="1" applyAlignment="1">
      <alignment horizontal="left" vertical="center"/>
    </xf>
    <xf numFmtId="0" fontId="14" fillId="0" borderId="0" xfId="0" applyFont="1" applyFill="1" applyBorder="1" applyAlignment="1">
      <alignment vertical="center"/>
    </xf>
    <xf numFmtId="1" fontId="4" fillId="0" borderId="1" xfId="0" applyNumberFormat="1" applyFont="1" applyFill="1" applyBorder="1" applyAlignment="1" applyProtection="1">
      <alignment horizontal="right" vertical="center"/>
      <protection locked="0"/>
    </xf>
    <xf numFmtId="3" fontId="4" fillId="0" borderId="7" xfId="0" applyNumberFormat="1" applyFont="1" applyFill="1" applyBorder="1" applyAlignment="1">
      <alignment vertical="center"/>
    </xf>
    <xf numFmtId="3" fontId="4" fillId="0" borderId="11" xfId="0" applyNumberFormat="1" applyFont="1" applyFill="1" applyBorder="1" applyAlignment="1">
      <alignment vertical="center"/>
    </xf>
    <xf numFmtId="3" fontId="4" fillId="0" borderId="15" xfId="0" applyNumberFormat="1" applyFont="1" applyFill="1" applyBorder="1" applyAlignment="1">
      <alignment vertical="center"/>
    </xf>
    <xf numFmtId="3" fontId="5" fillId="0" borderId="1" xfId="0" applyNumberFormat="1" applyFont="1" applyFill="1" applyBorder="1" applyAlignment="1" applyProtection="1">
      <alignment vertical="center"/>
      <protection locked="0"/>
    </xf>
    <xf numFmtId="3" fontId="4" fillId="0" borderId="0" xfId="0" applyNumberFormat="1" applyFont="1" applyFill="1" applyBorder="1" applyAlignment="1" applyProtection="1">
      <alignment vertical="center"/>
      <protection locked="0"/>
    </xf>
    <xf numFmtId="3" fontId="4" fillId="0" borderId="25" xfId="0" applyNumberFormat="1" applyFont="1" applyFill="1" applyBorder="1" applyAlignment="1" applyProtection="1">
      <alignment vertical="center"/>
      <protection locked="0"/>
    </xf>
    <xf numFmtId="3" fontId="4" fillId="0" borderId="31" xfId="0" applyNumberFormat="1" applyFont="1" applyFill="1" applyBorder="1" applyAlignment="1">
      <alignment vertical="center"/>
    </xf>
    <xf numFmtId="3" fontId="5" fillId="0" borderId="19" xfId="0" applyNumberFormat="1" applyFont="1" applyFill="1" applyBorder="1" applyAlignment="1" applyProtection="1">
      <alignment vertical="center"/>
      <protection locked="0"/>
    </xf>
    <xf numFmtId="3" fontId="6" fillId="0" borderId="0" xfId="0" applyNumberFormat="1" applyFont="1" applyFill="1" applyAlignment="1" applyProtection="1">
      <alignment horizontal="fill" vertical="top"/>
      <protection locked="0"/>
    </xf>
    <xf numFmtId="3" fontId="6" fillId="0" borderId="0" xfId="0" applyNumberFormat="1" applyFont="1" applyFill="1" applyAlignment="1" applyProtection="1">
      <alignment vertical="top"/>
      <protection locked="0"/>
    </xf>
    <xf numFmtId="0" fontId="7" fillId="0" borderId="0" xfId="0" applyFont="1" applyFill="1"/>
    <xf numFmtId="3" fontId="5" fillId="0" borderId="51" xfId="0" applyNumberFormat="1" applyFont="1" applyBorder="1" applyAlignment="1">
      <alignment horizontal="center" vertical="center" wrapText="1"/>
    </xf>
    <xf numFmtId="0" fontId="60" fillId="9" borderId="0" xfId="0" applyFont="1" applyFill="1" applyBorder="1" applyAlignment="1">
      <alignment vertical="center"/>
    </xf>
    <xf numFmtId="0" fontId="62" fillId="9" borderId="0" xfId="0" applyFont="1" applyFill="1" applyAlignment="1">
      <alignment vertical="center"/>
    </xf>
    <xf numFmtId="0" fontId="63" fillId="9" borderId="0" xfId="0" applyFont="1" applyFill="1" applyAlignment="1">
      <alignment vertical="center"/>
    </xf>
    <xf numFmtId="3" fontId="64" fillId="0" borderId="80" xfId="1" applyNumberFormat="1" applyFont="1" applyBorder="1" applyAlignment="1">
      <alignment horizontal="center" vertical="center"/>
    </xf>
    <xf numFmtId="3" fontId="5" fillId="0" borderId="104" xfId="0" applyNumberFormat="1" applyFont="1" applyBorder="1" applyAlignment="1">
      <alignment horizontal="center" vertical="center"/>
    </xf>
    <xf numFmtId="3" fontId="65" fillId="0" borderId="105" xfId="0" applyNumberFormat="1" applyFont="1" applyBorder="1" applyAlignment="1">
      <alignment horizontal="center" vertical="center"/>
    </xf>
    <xf numFmtId="3" fontId="4" fillId="0" borderId="11" xfId="0" applyNumberFormat="1" applyFont="1" applyFill="1" applyBorder="1" applyAlignment="1" applyProtection="1">
      <alignment horizontal="right" vertical="center"/>
      <protection locked="0"/>
    </xf>
    <xf numFmtId="1" fontId="4" fillId="0" borderId="11" xfId="0" applyNumberFormat="1" applyFont="1" applyFill="1" applyBorder="1" applyAlignment="1" applyProtection="1">
      <alignment horizontal="right" vertical="center"/>
      <protection locked="0"/>
    </xf>
    <xf numFmtId="3" fontId="4" fillId="0" borderId="11" xfId="0" applyNumberFormat="1" applyFont="1" applyFill="1" applyBorder="1" applyAlignment="1" applyProtection="1">
      <alignment vertical="center"/>
      <protection locked="0"/>
    </xf>
    <xf numFmtId="1" fontId="4" fillId="0" borderId="7" xfId="0" applyNumberFormat="1" applyFont="1" applyFill="1" applyBorder="1" applyAlignment="1" applyProtection="1">
      <alignment horizontal="right" vertical="center"/>
      <protection locked="0"/>
    </xf>
    <xf numFmtId="3" fontId="4" fillId="0" borderId="7" xfId="0" applyNumberFormat="1" applyFont="1" applyFill="1" applyBorder="1" applyAlignment="1" applyProtection="1">
      <alignment vertical="center"/>
      <protection locked="0"/>
    </xf>
    <xf numFmtId="1" fontId="4" fillId="0" borderId="12" xfId="0" applyNumberFormat="1" applyFont="1" applyFill="1" applyBorder="1" applyAlignment="1" applyProtection="1">
      <alignment horizontal="right" vertical="center"/>
      <protection locked="0"/>
    </xf>
    <xf numFmtId="3" fontId="65" fillId="0" borderId="35" xfId="0" applyNumberFormat="1" applyFont="1" applyBorder="1" applyAlignment="1">
      <alignment vertical="center"/>
    </xf>
    <xf numFmtId="3" fontId="65" fillId="0" borderId="104" xfId="0" applyNumberFormat="1" applyFont="1" applyBorder="1" applyAlignment="1">
      <alignment horizontal="center" vertical="center"/>
    </xf>
    <xf numFmtId="3" fontId="4" fillId="0" borderId="9" xfId="0" applyNumberFormat="1" applyFont="1" applyFill="1" applyBorder="1" applyAlignment="1" applyProtection="1">
      <alignment vertical="center"/>
      <protection locked="0"/>
    </xf>
    <xf numFmtId="3" fontId="4" fillId="0" borderId="9" xfId="0" applyNumberFormat="1" applyFont="1" applyFill="1" applyBorder="1" applyAlignment="1" applyProtection="1">
      <alignment vertical="center" wrapText="1"/>
      <protection locked="0"/>
    </xf>
    <xf numFmtId="3" fontId="4" fillId="0" borderId="9" xfId="0" applyNumberFormat="1" applyFont="1" applyFill="1" applyBorder="1" applyAlignment="1" applyProtection="1">
      <alignment horizontal="left" vertical="center" wrapText="1"/>
      <protection locked="0"/>
    </xf>
    <xf numFmtId="3" fontId="4" fillId="0" borderId="10" xfId="0" applyNumberFormat="1" applyFont="1" applyFill="1" applyBorder="1" applyAlignment="1" applyProtection="1">
      <alignment vertical="center"/>
      <protection locked="0"/>
    </xf>
    <xf numFmtId="3" fontId="4" fillId="0" borderId="12" xfId="0" applyNumberFormat="1" applyFont="1" applyFill="1" applyBorder="1" applyAlignment="1" applyProtection="1">
      <alignment horizontal="right" vertical="center"/>
      <protection locked="0"/>
    </xf>
    <xf numFmtId="0" fontId="7" fillId="0" borderId="0" xfId="0" applyFont="1" applyFill="1" applyBorder="1"/>
    <xf numFmtId="0" fontId="62" fillId="9" borderId="0" xfId="0" applyFont="1" applyFill="1" applyAlignment="1">
      <alignment vertical="center" wrapText="1"/>
    </xf>
    <xf numFmtId="0" fontId="66" fillId="10" borderId="0" xfId="0" applyFont="1" applyFill="1" applyAlignment="1">
      <alignment vertical="center"/>
    </xf>
    <xf numFmtId="0" fontId="68" fillId="2" borderId="0" xfId="0" applyNumberFormat="1" applyFont="1" applyFill="1" applyAlignment="1" applyProtection="1">
      <alignment vertical="center"/>
      <protection locked="0"/>
    </xf>
    <xf numFmtId="3" fontId="65" fillId="2" borderId="78" xfId="0" applyNumberFormat="1" applyFont="1" applyFill="1" applyBorder="1" applyAlignment="1" applyProtection="1">
      <alignment horizontal="right" vertical="center"/>
      <protection locked="0"/>
    </xf>
    <xf numFmtId="3" fontId="68" fillId="2" borderId="0" xfId="0" applyNumberFormat="1" applyFont="1" applyFill="1" applyAlignment="1" applyProtection="1">
      <alignment vertical="center"/>
      <protection locked="0"/>
    </xf>
    <xf numFmtId="3" fontId="4" fillId="0" borderId="103" xfId="1" applyNumberFormat="1" applyFont="1" applyBorder="1" applyAlignment="1" applyProtection="1">
      <alignment horizontal="right" vertical="center"/>
      <protection locked="0"/>
    </xf>
    <xf numFmtId="0" fontId="68" fillId="2" borderId="0" xfId="0" applyFont="1" applyFill="1" applyAlignment="1" applyProtection="1">
      <alignment horizontal="left" vertical="center"/>
      <protection locked="0"/>
    </xf>
    <xf numFmtId="0" fontId="58" fillId="6" borderId="0" xfId="0" applyFont="1" applyFill="1" applyAlignment="1">
      <alignment horizontal="left"/>
    </xf>
    <xf numFmtId="0" fontId="31" fillId="6" borderId="0" xfId="0" applyFont="1" applyFill="1"/>
    <xf numFmtId="0" fontId="27" fillId="6" borderId="0" xfId="0" applyFont="1" applyFill="1" applyAlignment="1">
      <alignment horizontal="left"/>
    </xf>
    <xf numFmtId="0" fontId="27" fillId="6" borderId="0" xfId="0" applyFont="1" applyFill="1" applyAlignment="1">
      <alignment vertical="top" wrapText="1"/>
    </xf>
    <xf numFmtId="0" fontId="59" fillId="6" borderId="0" xfId="0" applyFont="1" applyFill="1" applyAlignment="1">
      <alignment horizontal="left"/>
    </xf>
    <xf numFmtId="0" fontId="58" fillId="6" borderId="0" xfId="0" applyFont="1" applyFill="1" applyAlignment="1">
      <alignment horizontal="left" wrapText="1"/>
    </xf>
    <xf numFmtId="0" fontId="69" fillId="6" borderId="0" xfId="0" applyFont="1" applyFill="1" applyAlignment="1">
      <alignment vertical="center" wrapText="1"/>
    </xf>
    <xf numFmtId="0" fontId="5" fillId="2" borderId="9" xfId="0" applyFont="1" applyFill="1" applyBorder="1" applyAlignment="1" applyProtection="1">
      <alignment horizontal="left" vertical="center"/>
      <protection locked="0"/>
    </xf>
    <xf numFmtId="0" fontId="19" fillId="6" borderId="0" xfId="0" applyFont="1" applyFill="1"/>
    <xf numFmtId="0" fontId="13" fillId="6" borderId="0" xfId="0" applyFont="1" applyFill="1"/>
    <xf numFmtId="0" fontId="13" fillId="6" borderId="0" xfId="0" applyFont="1" applyFill="1" applyAlignment="1">
      <alignment vertical="top"/>
    </xf>
    <xf numFmtId="0" fontId="6" fillId="6" borderId="0" xfId="0" applyNumberFormat="1" applyFont="1" applyFill="1" applyAlignment="1" applyProtection="1">
      <alignment horizontal="left" vertical="center"/>
      <protection locked="0"/>
    </xf>
    <xf numFmtId="3" fontId="5" fillId="6" borderId="0" xfId="0" applyNumberFormat="1" applyFont="1" applyFill="1" applyBorder="1" applyAlignment="1" applyProtection="1">
      <alignment vertical="center"/>
      <protection locked="0"/>
    </xf>
    <xf numFmtId="3" fontId="9" fillId="6" borderId="0" xfId="0" applyNumberFormat="1" applyFont="1" applyFill="1" applyBorder="1" applyAlignment="1" applyProtection="1">
      <alignment vertical="center"/>
      <protection locked="0"/>
    </xf>
    <xf numFmtId="3" fontId="4" fillId="6" borderId="0" xfId="0" applyNumberFormat="1" applyFont="1" applyFill="1" applyBorder="1" applyAlignment="1" applyProtection="1">
      <alignment horizontal="right" vertical="center"/>
      <protection locked="0"/>
    </xf>
    <xf numFmtId="0" fontId="8" fillId="6" borderId="0" xfId="0" applyNumberFormat="1" applyFont="1" applyFill="1" applyAlignment="1" applyProtection="1">
      <alignment vertical="center"/>
      <protection locked="0"/>
    </xf>
    <xf numFmtId="3" fontId="4" fillId="6" borderId="0" xfId="0" applyNumberFormat="1" applyFont="1" applyFill="1" applyBorder="1" applyAlignment="1">
      <alignment horizontal="right" vertical="center"/>
    </xf>
    <xf numFmtId="0" fontId="13" fillId="6" borderId="0" xfId="0" applyFont="1" applyFill="1" applyBorder="1"/>
    <xf numFmtId="0" fontId="25" fillId="6" borderId="0" xfId="0" applyNumberFormat="1" applyFont="1" applyFill="1" applyAlignment="1">
      <alignment horizontal="left"/>
    </xf>
    <xf numFmtId="3" fontId="4" fillId="6" borderId="0" xfId="0" applyNumberFormat="1" applyFont="1" applyFill="1" applyAlignment="1">
      <alignment vertical="top"/>
    </xf>
    <xf numFmtId="3" fontId="26" fillId="6" borderId="0" xfId="0" applyNumberFormat="1" applyFont="1" applyFill="1" applyAlignment="1"/>
    <xf numFmtId="3" fontId="4" fillId="6" borderId="0" xfId="0" applyNumberFormat="1" applyFont="1" applyFill="1" applyBorder="1" applyAlignment="1">
      <alignment vertical="top"/>
    </xf>
    <xf numFmtId="0" fontId="6" fillId="6" borderId="0" xfId="0" applyNumberFormat="1" applyFont="1" applyFill="1" applyAlignment="1">
      <alignment horizontal="left"/>
    </xf>
    <xf numFmtId="3" fontId="8" fillId="6" borderId="0" xfId="0" applyNumberFormat="1" applyFont="1" applyFill="1" applyAlignment="1"/>
    <xf numFmtId="0" fontId="6" fillId="6" borderId="0" xfId="0" applyNumberFormat="1" applyFont="1" applyFill="1" applyAlignment="1">
      <alignment horizontal="left" vertical="center"/>
    </xf>
    <xf numFmtId="3" fontId="4" fillId="6" borderId="0" xfId="0" applyNumberFormat="1" applyFont="1" applyFill="1" applyAlignment="1">
      <alignment vertical="center"/>
    </xf>
    <xf numFmtId="3" fontId="8" fillId="6" borderId="0" xfId="0" applyNumberFormat="1" applyFont="1" applyFill="1" applyAlignment="1">
      <alignment vertical="center"/>
    </xf>
    <xf numFmtId="0" fontId="13" fillId="6" borderId="0" xfId="0" applyFont="1" applyFill="1" applyAlignment="1">
      <alignment vertical="center"/>
    </xf>
    <xf numFmtId="3" fontId="4" fillId="6" borderId="0" xfId="0" applyNumberFormat="1" applyFont="1" applyFill="1" applyAlignment="1"/>
    <xf numFmtId="3" fontId="5" fillId="6" borderId="0" xfId="0" applyNumberFormat="1" applyFont="1" applyFill="1" applyBorder="1" applyAlignment="1">
      <alignment vertical="center"/>
    </xf>
    <xf numFmtId="3" fontId="12" fillId="6" borderId="0" xfId="0" applyNumberFormat="1" applyFont="1" applyFill="1" applyBorder="1" applyAlignment="1">
      <alignment vertical="center"/>
    </xf>
    <xf numFmtId="0" fontId="13" fillId="6" borderId="0" xfId="0" applyNumberFormat="1" applyFont="1" applyFill="1" applyAlignment="1">
      <alignment horizontal="left"/>
    </xf>
    <xf numFmtId="0" fontId="19" fillId="6" borderId="0" xfId="0" applyFont="1" applyFill="1" applyBorder="1"/>
    <xf numFmtId="3" fontId="4" fillId="6" borderId="46" xfId="0" applyNumberFormat="1" applyFont="1" applyFill="1" applyBorder="1" applyAlignment="1">
      <alignment vertical="center"/>
    </xf>
    <xf numFmtId="3" fontId="1" fillId="6" borderId="0" xfId="0" applyNumberFormat="1" applyFont="1" applyFill="1" applyAlignment="1" applyProtection="1">
      <alignment horizontal="fill" vertical="top"/>
      <protection locked="0"/>
    </xf>
    <xf numFmtId="0" fontId="7" fillId="6" borderId="0" xfId="0" applyFont="1" applyFill="1" applyBorder="1"/>
    <xf numFmtId="0" fontId="7" fillId="6" borderId="0" xfId="0" applyFont="1" applyFill="1"/>
    <xf numFmtId="0" fontId="13" fillId="6" borderId="0" xfId="0" applyNumberFormat="1" applyFont="1" applyFill="1" applyAlignment="1">
      <alignment horizontal="left" vertical="top"/>
    </xf>
    <xf numFmtId="0" fontId="22" fillId="6" borderId="0" xfId="0" applyFont="1" applyFill="1" applyBorder="1"/>
    <xf numFmtId="0" fontId="22" fillId="6" borderId="0" xfId="0" applyFont="1" applyFill="1"/>
    <xf numFmtId="0" fontId="22" fillId="6" borderId="0" xfId="0" applyFont="1" applyFill="1" applyAlignment="1">
      <alignment vertical="top"/>
    </xf>
    <xf numFmtId="0" fontId="6" fillId="6" borderId="0" xfId="0" applyNumberFormat="1" applyFont="1" applyFill="1" applyBorder="1" applyAlignment="1" applyProtection="1">
      <alignment horizontal="left" vertical="center"/>
      <protection locked="0"/>
    </xf>
    <xf numFmtId="3" fontId="40" fillId="6" borderId="0" xfId="0" applyNumberFormat="1" applyFont="1" applyFill="1" applyBorder="1" applyAlignment="1" applyProtection="1">
      <alignment vertical="center"/>
      <protection locked="0"/>
    </xf>
    <xf numFmtId="3" fontId="8" fillId="6" borderId="0" xfId="0" applyNumberFormat="1" applyFont="1" applyFill="1" applyBorder="1" applyAlignment="1" applyProtection="1">
      <alignment vertical="center"/>
      <protection locked="0"/>
    </xf>
    <xf numFmtId="1" fontId="40" fillId="6" borderId="0" xfId="0" applyNumberFormat="1" applyFont="1" applyFill="1" applyBorder="1" applyAlignment="1" applyProtection="1">
      <alignment horizontal="right" vertical="center"/>
      <protection locked="0"/>
    </xf>
    <xf numFmtId="3" fontId="6" fillId="6" borderId="0" xfId="0" applyNumberFormat="1" applyFont="1" applyFill="1" applyAlignment="1" applyProtection="1">
      <alignment horizontal="fill" vertical="top"/>
      <protection locked="0"/>
    </xf>
    <xf numFmtId="3" fontId="41" fillId="6" borderId="0" xfId="0" applyNumberFormat="1" applyFont="1" applyFill="1" applyBorder="1" applyAlignment="1" applyProtection="1">
      <alignment vertical="center"/>
      <protection locked="0"/>
    </xf>
    <xf numFmtId="3" fontId="6" fillId="6" borderId="0" xfId="0" applyNumberFormat="1" applyFont="1" applyFill="1" applyBorder="1" applyAlignment="1" applyProtection="1">
      <alignment horizontal="right" vertical="center"/>
      <protection locked="0"/>
    </xf>
    <xf numFmtId="3" fontId="6" fillId="6" borderId="0" xfId="0" applyNumberFormat="1" applyFont="1" applyFill="1" applyBorder="1" applyAlignment="1">
      <alignment horizontal="right" vertical="center"/>
    </xf>
    <xf numFmtId="3" fontId="6" fillId="6" borderId="0" xfId="0" applyNumberFormat="1" applyFont="1" applyFill="1" applyAlignment="1">
      <alignment vertical="top"/>
    </xf>
    <xf numFmtId="3" fontId="6" fillId="6" borderId="0" xfId="0" applyNumberFormat="1" applyFont="1" applyFill="1" applyBorder="1" applyAlignment="1">
      <alignment vertical="top"/>
    </xf>
    <xf numFmtId="165" fontId="4" fillId="2" borderId="11" xfId="4" applyNumberFormat="1" applyFont="1" applyFill="1" applyBorder="1" applyAlignment="1" applyProtection="1">
      <alignment horizontal="right" vertical="center"/>
      <protection locked="0"/>
    </xf>
    <xf numFmtId="3" fontId="5" fillId="0" borderId="102" xfId="1" applyNumberFormat="1" applyFont="1" applyBorder="1" applyAlignment="1">
      <alignment vertical="center"/>
    </xf>
    <xf numFmtId="3" fontId="5" fillId="0" borderId="14" xfId="1" applyNumberFormat="1" applyFont="1" applyBorder="1" applyAlignment="1">
      <alignment vertical="center"/>
    </xf>
    <xf numFmtId="3" fontId="5" fillId="0" borderId="44" xfId="0" applyNumberFormat="1" applyFont="1" applyBorder="1" applyAlignment="1">
      <alignment horizontal="left" vertical="center"/>
    </xf>
    <xf numFmtId="3" fontId="5" fillId="0" borderId="0" xfId="0" applyNumberFormat="1" applyFont="1" applyAlignment="1">
      <alignment vertical="center"/>
    </xf>
    <xf numFmtId="3" fontId="5" fillId="0" borderId="23" xfId="1" applyNumberFormat="1" applyFont="1" applyBorder="1" applyAlignment="1">
      <alignment vertical="center"/>
    </xf>
    <xf numFmtId="0" fontId="5" fillId="0" borderId="43" xfId="0" applyFont="1" applyFill="1" applyBorder="1" applyAlignment="1">
      <alignment horizontal="left" vertical="center"/>
    </xf>
    <xf numFmtId="3" fontId="5" fillId="0" borderId="36" xfId="0" applyNumberFormat="1" applyFont="1" applyFill="1" applyBorder="1" applyAlignment="1">
      <alignment vertical="center"/>
    </xf>
    <xf numFmtId="3" fontId="5" fillId="0" borderId="6" xfId="0" applyNumberFormat="1" applyFont="1" applyFill="1" applyBorder="1" applyAlignment="1">
      <alignment vertical="center"/>
    </xf>
    <xf numFmtId="3" fontId="4" fillId="0" borderId="79" xfId="1" applyNumberFormat="1" applyFont="1" applyFill="1" applyBorder="1" applyAlignment="1">
      <alignment vertical="center"/>
    </xf>
    <xf numFmtId="0" fontId="75" fillId="0" borderId="0" xfId="0" applyFont="1" applyFill="1" applyBorder="1"/>
    <xf numFmtId="0" fontId="5" fillId="0" borderId="13" xfId="0" applyFont="1" applyFill="1" applyBorder="1" applyAlignment="1">
      <alignment horizontal="left" vertical="center"/>
    </xf>
    <xf numFmtId="3" fontId="5" fillId="0" borderId="25" xfId="0" applyNumberFormat="1" applyFont="1" applyFill="1" applyBorder="1" applyAlignment="1">
      <alignment vertical="center"/>
    </xf>
    <xf numFmtId="3" fontId="5" fillId="0" borderId="23" xfId="0" applyNumberFormat="1" applyFont="1" applyFill="1" applyBorder="1" applyAlignment="1">
      <alignment vertical="center"/>
    </xf>
    <xf numFmtId="3" fontId="4" fillId="0" borderId="53" xfId="0" applyNumberFormat="1" applyFont="1" applyFill="1" applyBorder="1" applyAlignment="1">
      <alignment vertical="center"/>
    </xf>
    <xf numFmtId="3" fontId="4" fillId="0" borderId="53" xfId="0" applyNumberFormat="1" applyFont="1" applyBorder="1" applyAlignment="1">
      <alignment vertical="center"/>
    </xf>
    <xf numFmtId="3" fontId="4" fillId="0" borderId="79" xfId="1" applyNumberFormat="1" applyFont="1" applyBorder="1" applyAlignment="1">
      <alignment vertical="center"/>
    </xf>
    <xf numFmtId="3" fontId="16" fillId="5" borderId="13" xfId="0" applyNumberFormat="1" applyFont="1" applyFill="1" applyBorder="1" applyAlignment="1" applyProtection="1">
      <alignment horizontal="center" vertical="center"/>
      <protection locked="0"/>
    </xf>
    <xf numFmtId="3" fontId="16" fillId="5" borderId="0" xfId="0" applyNumberFormat="1" applyFont="1" applyFill="1" applyBorder="1" applyAlignment="1" applyProtection="1">
      <alignment horizontal="center" vertical="center"/>
      <protection locked="0"/>
    </xf>
    <xf numFmtId="3" fontId="16" fillId="5" borderId="16" xfId="0" applyNumberFormat="1" applyFont="1" applyFill="1" applyBorder="1" applyAlignment="1" applyProtection="1">
      <alignment horizontal="center" vertical="center"/>
      <protection locked="0"/>
    </xf>
    <xf numFmtId="3" fontId="20" fillId="5" borderId="13" xfId="0" applyNumberFormat="1" applyFont="1" applyFill="1" applyBorder="1" applyAlignment="1" applyProtection="1">
      <alignment horizontal="center" vertical="center" wrapText="1"/>
      <protection locked="0"/>
    </xf>
    <xf numFmtId="3" fontId="20" fillId="5" borderId="0" xfId="0" applyNumberFormat="1" applyFont="1" applyFill="1" applyBorder="1" applyAlignment="1" applyProtection="1">
      <alignment horizontal="center" vertical="center" wrapText="1"/>
      <protection locked="0"/>
    </xf>
    <xf numFmtId="3" fontId="20" fillId="5" borderId="16" xfId="0" applyNumberFormat="1" applyFont="1" applyFill="1" applyBorder="1" applyAlignment="1" applyProtection="1">
      <alignment horizontal="center" vertical="center" wrapText="1"/>
      <protection locked="0"/>
    </xf>
    <xf numFmtId="3" fontId="16" fillId="5" borderId="29" xfId="0" applyNumberFormat="1" applyFont="1" applyFill="1" applyBorder="1" applyAlignment="1" applyProtection="1">
      <alignment horizontal="center" vertical="center"/>
      <protection locked="0"/>
    </xf>
    <xf numFmtId="0" fontId="27" fillId="0" borderId="30" xfId="0" applyFont="1" applyBorder="1" applyAlignment="1">
      <alignment horizontal="center" vertical="center"/>
    </xf>
    <xf numFmtId="0" fontId="27" fillId="0" borderId="76" xfId="0" applyFont="1" applyBorder="1" applyAlignment="1">
      <alignment horizontal="center" vertical="center"/>
    </xf>
    <xf numFmtId="3" fontId="16" fillId="5" borderId="29" xfId="0" applyNumberFormat="1" applyFont="1" applyFill="1" applyBorder="1" applyAlignment="1" applyProtection="1">
      <alignment horizontal="center" vertical="center" wrapText="1"/>
      <protection locked="0"/>
    </xf>
    <xf numFmtId="3" fontId="5" fillId="2" borderId="77" xfId="0" applyNumberFormat="1" applyFont="1" applyFill="1" applyBorder="1" applyAlignment="1" applyProtection="1">
      <alignment horizontal="left" vertical="top"/>
      <protection locked="0"/>
    </xf>
    <xf numFmtId="3" fontId="5" fillId="2" borderId="28" xfId="0" applyNumberFormat="1" applyFont="1" applyFill="1" applyBorder="1" applyAlignment="1" applyProtection="1">
      <alignment horizontal="left" vertical="top"/>
      <protection locked="0"/>
    </xf>
    <xf numFmtId="3" fontId="5" fillId="2" borderId="22" xfId="0" applyNumberFormat="1" applyFont="1" applyFill="1" applyBorder="1" applyAlignment="1" applyProtection="1">
      <alignment horizontal="left" vertical="top"/>
      <protection locked="0"/>
    </xf>
    <xf numFmtId="3" fontId="5" fillId="2" borderId="54" xfId="0" applyNumberFormat="1" applyFont="1" applyFill="1" applyBorder="1" applyAlignment="1" applyProtection="1">
      <alignment horizontal="left" vertical="top"/>
      <protection locked="0"/>
    </xf>
    <xf numFmtId="3" fontId="5" fillId="2" borderId="25" xfId="0" applyNumberFormat="1" applyFont="1" applyFill="1" applyBorder="1" applyAlignment="1" applyProtection="1">
      <alignment horizontal="left" vertical="top"/>
      <protection locked="0"/>
    </xf>
    <xf numFmtId="3" fontId="5" fillId="2" borderId="23" xfId="0" applyNumberFormat="1" applyFont="1" applyFill="1" applyBorder="1" applyAlignment="1" applyProtection="1">
      <alignment horizontal="left" vertical="top"/>
      <protection locked="0"/>
    </xf>
    <xf numFmtId="3" fontId="5" fillId="2" borderId="33" xfId="0" applyNumberFormat="1" applyFont="1" applyFill="1" applyBorder="1" applyAlignment="1" applyProtection="1">
      <alignment horizontal="left" vertical="top"/>
      <protection locked="0"/>
    </xf>
    <xf numFmtId="3" fontId="5" fillId="2" borderId="26" xfId="0" applyNumberFormat="1" applyFont="1" applyFill="1" applyBorder="1" applyAlignment="1" applyProtection="1">
      <alignment horizontal="left" vertical="top"/>
      <protection locked="0"/>
    </xf>
  </cellXfs>
  <cellStyles count="9">
    <cellStyle name="Comma" xfId="4" builtinId="3"/>
    <cellStyle name="Hyperlink" xfId="2" builtinId="8"/>
    <cellStyle name="Normal" xfId="0" builtinId="0"/>
    <cellStyle name="Normal 2" xfId="1" xr:uid="{00000000-0005-0000-0000-000002000000}"/>
    <cellStyle name="Normal 3" xfId="3" xr:uid="{6D988090-A2E7-4176-9C75-0D6E3539FA34}"/>
    <cellStyle name="Normal 3 2" xfId="6" xr:uid="{B12A17FC-DCC5-4028-8316-0628AAA82D2D}"/>
    <cellStyle name="Normal 4" xfId="5" xr:uid="{1DA689FF-50E1-4874-9240-10334D90DA5A}"/>
    <cellStyle name="Normal 4 2" xfId="8" xr:uid="{9508BB71-6EBD-4D19-AED3-7E327C7D3DC5}"/>
    <cellStyle name="Normal 4 3" xfId="7" xr:uid="{9CFD238D-17B2-4E8F-80B5-7622CBB5F6FD}"/>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E7E2CF"/>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B4A76C"/>
      <rgbColor rgb="00004165"/>
    </indexedColors>
    <mruColors>
      <color rgb="FFB4A76C"/>
      <color rgb="FFE7E2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24"/>
  <sheetViews>
    <sheetView zoomScale="130" zoomScaleNormal="130" workbookViewId="0">
      <selection activeCell="F7" sqref="F7"/>
    </sheetView>
  </sheetViews>
  <sheetFormatPr defaultColWidth="11.53515625" defaultRowHeight="15.5"/>
  <sheetData>
    <row r="2" spans="1:11">
      <c r="A2" s="755" t="s">
        <v>120</v>
      </c>
      <c r="B2" s="756"/>
      <c r="C2" s="756"/>
      <c r="D2" s="756"/>
      <c r="E2" s="756"/>
      <c r="F2" s="756"/>
      <c r="G2" s="756"/>
      <c r="H2" s="756"/>
      <c r="I2" s="756"/>
      <c r="J2" s="756"/>
      <c r="K2" s="757"/>
    </row>
    <row r="3" spans="1:11">
      <c r="A3" s="758"/>
      <c r="B3" s="759"/>
      <c r="C3" s="759"/>
      <c r="D3" s="759"/>
      <c r="E3" s="759"/>
      <c r="F3" s="759"/>
      <c r="G3" s="759"/>
      <c r="H3" s="759"/>
      <c r="I3" s="759"/>
      <c r="J3" s="759"/>
      <c r="K3" s="760"/>
    </row>
    <row r="4" spans="1:11" ht="16" thickBot="1">
      <c r="A4" s="761" t="s">
        <v>273</v>
      </c>
      <c r="B4" s="762"/>
      <c r="C4" s="762"/>
      <c r="D4" s="762"/>
      <c r="E4" s="762"/>
      <c r="F4" s="762"/>
      <c r="G4" s="762"/>
      <c r="H4" s="762"/>
      <c r="I4" s="762"/>
      <c r="J4" s="762"/>
      <c r="K4" s="763"/>
    </row>
    <row r="5" spans="1:11" ht="15.75" customHeight="1" thickBot="1">
      <c r="A5" s="764" t="s">
        <v>274</v>
      </c>
      <c r="B5" s="762"/>
      <c r="C5" s="762"/>
      <c r="D5" s="762"/>
      <c r="E5" s="762"/>
      <c r="F5" s="762"/>
      <c r="G5" s="762"/>
      <c r="H5" s="762"/>
      <c r="I5" s="762"/>
      <c r="J5" s="762"/>
      <c r="K5" s="763"/>
    </row>
    <row r="7" spans="1:11">
      <c r="A7" s="371" t="s">
        <v>119</v>
      </c>
    </row>
    <row r="8" spans="1:11">
      <c r="A8" s="682" t="s">
        <v>270</v>
      </c>
      <c r="B8" s="296"/>
      <c r="C8" s="297"/>
      <c r="D8" s="297"/>
      <c r="E8" s="297"/>
      <c r="F8" s="54"/>
      <c r="G8" s="296"/>
      <c r="H8" s="296"/>
      <c r="I8" s="296"/>
      <c r="J8" s="296"/>
    </row>
    <row r="9" spans="1:11">
      <c r="A9" s="53"/>
      <c r="B9" s="296"/>
      <c r="C9" s="297"/>
      <c r="D9" s="297"/>
      <c r="E9" s="297"/>
      <c r="F9" s="54"/>
      <c r="G9" s="296"/>
      <c r="H9" s="296"/>
      <c r="I9" s="296"/>
      <c r="J9" s="296"/>
    </row>
    <row r="10" spans="1:11">
      <c r="A10" s="353" t="s">
        <v>176</v>
      </c>
      <c r="B10" s="302"/>
      <c r="C10" s="302"/>
      <c r="D10" s="302"/>
      <c r="E10" s="302"/>
      <c r="F10" s="354"/>
      <c r="G10" s="302"/>
      <c r="H10" s="302"/>
      <c r="I10" s="302"/>
      <c r="J10" s="302"/>
    </row>
    <row r="12" spans="1:11">
      <c r="A12" s="684" t="s">
        <v>269</v>
      </c>
      <c r="F12" s="371"/>
    </row>
    <row r="14" spans="1:11">
      <c r="A14" s="682" t="s">
        <v>260</v>
      </c>
      <c r="F14" s="371"/>
    </row>
    <row r="18" spans="1:11">
      <c r="A18" s="367"/>
      <c r="B18" s="368"/>
    </row>
    <row r="19" spans="1:11">
      <c r="A19" s="367"/>
      <c r="B19" s="368"/>
    </row>
    <row r="20" spans="1:11">
      <c r="A20" s="758" t="s">
        <v>116</v>
      </c>
      <c r="B20" s="759"/>
      <c r="C20" s="759"/>
      <c r="D20" s="759"/>
      <c r="E20" s="759"/>
      <c r="F20" s="759"/>
      <c r="G20" s="759"/>
      <c r="H20" s="759"/>
      <c r="I20" s="759"/>
      <c r="J20" s="759"/>
      <c r="K20" s="760"/>
    </row>
    <row r="21" spans="1:11">
      <c r="A21">
        <v>2024</v>
      </c>
    </row>
    <row r="22" spans="1:11">
      <c r="A22" s="371">
        <v>2025</v>
      </c>
    </row>
    <row r="23" spans="1:11">
      <c r="A23">
        <v>2026</v>
      </c>
    </row>
    <row r="24" spans="1:11">
      <c r="A24" s="53"/>
      <c r="E24" s="53"/>
    </row>
  </sheetData>
  <mergeCells count="5">
    <mergeCell ref="A2:K2"/>
    <mergeCell ref="A3:K3"/>
    <mergeCell ref="A4:K4"/>
    <mergeCell ref="A5:K5"/>
    <mergeCell ref="A20:K20"/>
  </mergeCells>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9"/>
  <sheetViews>
    <sheetView tabSelected="1" workbookViewId="0"/>
  </sheetViews>
  <sheetFormatPr defaultColWidth="6.765625" defaultRowHeight="15.5"/>
  <cols>
    <col min="1" max="1" width="3.23046875" style="506" customWidth="1"/>
    <col min="2" max="2" width="121.53515625" style="519" customWidth="1"/>
    <col min="3" max="3" width="9.4609375" style="506" customWidth="1"/>
    <col min="4" max="4" width="3.07421875" style="506" customWidth="1"/>
    <col min="5" max="5" width="6.765625" style="506" customWidth="1"/>
    <col min="6" max="16384" width="6.765625" style="506"/>
  </cols>
  <sheetData>
    <row r="1" spans="1:5" ht="15" customHeight="1">
      <c r="A1" s="501"/>
      <c r="B1" s="502" t="s">
        <v>147</v>
      </c>
      <c r="C1" s="503"/>
      <c r="D1" s="504"/>
      <c r="E1" s="505"/>
    </row>
    <row r="2" spans="1:5" ht="31.5" customHeight="1">
      <c r="A2" s="507"/>
      <c r="B2" s="508" t="s">
        <v>152</v>
      </c>
      <c r="C2" s="508"/>
      <c r="E2" s="505"/>
    </row>
    <row r="3" spans="1:5" s="510" customFormat="1" ht="18" customHeight="1">
      <c r="A3" s="509"/>
      <c r="B3" s="503"/>
      <c r="C3" s="503"/>
      <c r="E3" s="511"/>
    </row>
    <row r="4" spans="1:5">
      <c r="A4" s="507"/>
      <c r="B4" s="512" t="s">
        <v>177</v>
      </c>
      <c r="E4" s="505"/>
    </row>
    <row r="5" spans="1:5">
      <c r="A5" s="507"/>
      <c r="B5" s="512" t="s">
        <v>259</v>
      </c>
      <c r="E5" s="505"/>
    </row>
    <row r="6" spans="1:5">
      <c r="A6" s="507"/>
      <c r="B6" s="513"/>
      <c r="E6" s="505"/>
    </row>
    <row r="7" spans="1:5">
      <c r="A7" s="507"/>
      <c r="B7" s="513" t="s">
        <v>148</v>
      </c>
      <c r="E7" s="505"/>
    </row>
    <row r="8" spans="1:5">
      <c r="A8" s="507"/>
      <c r="B8" s="514" t="s">
        <v>149</v>
      </c>
      <c r="E8" s="505"/>
    </row>
    <row r="9" spans="1:5">
      <c r="A9" s="507"/>
      <c r="B9" s="514"/>
      <c r="E9" s="505"/>
    </row>
    <row r="10" spans="1:5">
      <c r="A10" s="507"/>
      <c r="B10" s="515" t="s">
        <v>174</v>
      </c>
      <c r="E10" s="505"/>
    </row>
    <row r="11" spans="1:5">
      <c r="A11" s="507"/>
      <c r="B11" s="514"/>
      <c r="E11" s="505"/>
    </row>
    <row r="12" spans="1:5" ht="15" customHeight="1">
      <c r="A12" s="507"/>
      <c r="B12" s="515" t="s">
        <v>153</v>
      </c>
      <c r="E12" s="505"/>
    </row>
    <row r="13" spans="1:5">
      <c r="A13" s="507"/>
      <c r="B13" s="516"/>
      <c r="E13" s="505"/>
    </row>
    <row r="14" spans="1:5" ht="14.65" customHeight="1">
      <c r="B14" s="515" t="s">
        <v>154</v>
      </c>
      <c r="E14" s="505"/>
    </row>
    <row r="15" spans="1:5">
      <c r="B15" s="516"/>
      <c r="E15" s="505"/>
    </row>
    <row r="16" spans="1:5" ht="15" customHeight="1">
      <c r="B16" s="515" t="s">
        <v>155</v>
      </c>
      <c r="E16" s="505"/>
    </row>
    <row r="17" spans="2:5" ht="15" customHeight="1">
      <c r="B17" s="517"/>
      <c r="E17" s="505"/>
    </row>
    <row r="18" spans="2:5" ht="15" customHeight="1">
      <c r="B18" s="515" t="s">
        <v>156</v>
      </c>
      <c r="E18" s="505"/>
    </row>
    <row r="19" spans="2:5" ht="15" customHeight="1">
      <c r="B19" s="517"/>
      <c r="E19" s="505"/>
    </row>
    <row r="20" spans="2:5" ht="15" customHeight="1">
      <c r="B20" s="515" t="s">
        <v>157</v>
      </c>
      <c r="E20" s="505"/>
    </row>
    <row r="21" spans="2:5" ht="15" customHeight="1">
      <c r="B21" s="517"/>
      <c r="E21" s="505"/>
    </row>
    <row r="22" spans="2:5" ht="15" customHeight="1">
      <c r="B22" s="515" t="s">
        <v>158</v>
      </c>
      <c r="E22" s="505"/>
    </row>
    <row r="23" spans="2:5" ht="15" customHeight="1">
      <c r="B23" s="517"/>
      <c r="E23" s="505"/>
    </row>
    <row r="24" spans="2:5" ht="15" customHeight="1">
      <c r="B24" s="515" t="s">
        <v>159</v>
      </c>
      <c r="E24" s="505"/>
    </row>
    <row r="25" spans="2:5" ht="15" customHeight="1">
      <c r="B25" s="517"/>
      <c r="E25" s="505"/>
    </row>
    <row r="26" spans="2:5" ht="15" customHeight="1">
      <c r="B26" s="518" t="s">
        <v>160</v>
      </c>
      <c r="E26" s="505"/>
    </row>
    <row r="27" spans="2:5" ht="15" customHeight="1">
      <c r="B27" s="517"/>
      <c r="E27" s="505"/>
    </row>
    <row r="28" spans="2:5" ht="15" customHeight="1">
      <c r="B28" s="515" t="s">
        <v>250</v>
      </c>
      <c r="E28" s="505"/>
    </row>
    <row r="29" spans="2:5" ht="15" customHeight="1">
      <c r="B29" s="517"/>
      <c r="E29" s="505"/>
    </row>
    <row r="30" spans="2:5" ht="15" customHeight="1">
      <c r="B30" s="530" t="s">
        <v>161</v>
      </c>
      <c r="E30" s="505"/>
    </row>
    <row r="31" spans="2:5" ht="15" customHeight="1">
      <c r="B31" s="531"/>
      <c r="E31" s="505"/>
    </row>
    <row r="32" spans="2:5" ht="15" customHeight="1">
      <c r="B32" s="531" t="s">
        <v>263</v>
      </c>
      <c r="E32" s="505"/>
    </row>
    <row r="33" spans="1:5" ht="15" customHeight="1">
      <c r="B33" s="531"/>
      <c r="E33" s="505"/>
    </row>
    <row r="34" spans="1:5" ht="15" customHeight="1">
      <c r="B34" s="531" t="s">
        <v>150</v>
      </c>
      <c r="E34" s="505"/>
    </row>
    <row r="35" spans="1:5" ht="15" customHeight="1">
      <c r="B35" s="531"/>
      <c r="E35" s="505"/>
    </row>
    <row r="36" spans="1:5" ht="15" customHeight="1">
      <c r="B36" s="515" t="s">
        <v>222</v>
      </c>
      <c r="E36" s="505"/>
    </row>
    <row r="37" spans="1:5" ht="15" customHeight="1">
      <c r="B37" s="517"/>
      <c r="E37" s="505"/>
    </row>
    <row r="38" spans="1:5" ht="15" customHeight="1">
      <c r="B38" s="515" t="s">
        <v>151</v>
      </c>
      <c r="E38" s="505"/>
    </row>
    <row r="39" spans="1:5">
      <c r="A39" s="527"/>
      <c r="B39" s="529"/>
      <c r="C39" s="527"/>
      <c r="D39" s="528"/>
    </row>
  </sheetData>
  <hyperlinks>
    <hyperlink ref="B12" location="'Table 1'!Print_Area" display="Table 1: Housing Start Data in Centres 10,000 Population and Over" xr:uid="{00000000-0004-0000-0100-000000000000}"/>
    <hyperlink ref="B14" location="'Table 2'!A1" display="Table 2: Housing Start Data in Centres 10,000 Population and Over (Cumulative)" xr:uid="{00000000-0004-0000-0100-000001000000}"/>
    <hyperlink ref="B16" location="'Table 3'!A1" display="Table 3: Dwelling Starts in Urban Centres and Canada, Seasonally Adjusted at Annual Rates " xr:uid="{00000000-0004-0000-0100-000002000000}"/>
    <hyperlink ref="B18" location="'Table 4'!A1" display="Table 4: Dwelling Starts in Urban Centres, by Region, Seasonally Adjusted at Annual Rates " xr:uid="{00000000-0004-0000-0100-000003000000}"/>
    <hyperlink ref="B20" location="'Table 5'!A1" display="Table 5: Dwelling Starts in Urban Centres,  by Region, Seasonally Adjusted at Annual Rates " xr:uid="{00000000-0004-0000-0100-000004000000}"/>
    <hyperlink ref="B22" location="'Table 6'!A1" display="Table 6: Dwelling Starts in Urban Centres, Atlantic Provinces, Seasonally Adjusted at Annual Rates " xr:uid="{00000000-0004-0000-0100-000005000000}"/>
    <hyperlink ref="B24" location="'Table 7'!A1" display="Table 7: Dwelling Starts in Urban Centres, Prairie Provinces, Seasonally Adjusted at Annual Rates" xr:uid="{00000000-0004-0000-0100-000006000000}"/>
    <hyperlink ref="B26" location="'Table 8'!A1" display="Table 8 to Table 15: Dwelling Starts - Seasonally Adjusted at Annual Rates" xr:uid="{00000000-0004-0000-0100-000007000000}"/>
    <hyperlink ref="B38" location="'Concepts and Definitions'!A1" display="Concepts and Definitions " xr:uid="{00000000-0004-0000-0100-000009000000}"/>
    <hyperlink ref="B28" location="'Table 16'!Print_Area" display="Table 16: Absorption of Homeowner and Condominium Units by Dwelling Type,in Metropolitan Areas, Large Urban Centres and Census Agglomerations" xr:uid="{00000000-0004-0000-0100-00000B000000}"/>
    <hyperlink ref="B30" location="'Tables 17-18'!Print_Area" display="Table 17-18: Dwelling Starts in Urban Centres and Canada, Seasonally Adjusted at Annual Rates" xr:uid="{00000000-0004-0000-0100-00000C000000}"/>
    <hyperlink ref="B32" location="'Tables 19-20'!Print_Area" display="Table 19-20: Dwelling Starts in Canada1, Atlantic Provinces, Seasonally Adjusted at Annual Rates" xr:uid="{00000000-0004-0000-0100-00000D000000}"/>
    <hyperlink ref="B34" location="Symbols!A1" display="Symbols  " xr:uid="{00000000-0004-0000-0100-00000E000000}"/>
    <hyperlink ref="B10" location="Notes!A1" display="Note to readers " xr:uid="{00000000-0004-0000-0100-00000F000000}"/>
    <hyperlink ref="B36" location="'Coverage and Geography'!A1" display="Coverage and Geography" xr:uid="{AC86674A-0792-4A13-8415-6BD56CEFA20A}"/>
  </hyperlinks>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2"/>
  <sheetViews>
    <sheetView zoomScaleNormal="100" workbookViewId="0"/>
  </sheetViews>
  <sheetFormatPr defaultColWidth="8.765625" defaultRowHeight="15.5"/>
  <cols>
    <col min="1" max="1" width="125.07421875" style="506" customWidth="1"/>
    <col min="2" max="2" width="8.765625" style="506" customWidth="1"/>
    <col min="3" max="16384" width="8.765625" style="506"/>
  </cols>
  <sheetData>
    <row r="1" spans="1:16" ht="18.5">
      <c r="A1" s="662" t="s">
        <v>187</v>
      </c>
      <c r="B1" s="662"/>
      <c r="C1" s="662"/>
      <c r="D1" s="662"/>
      <c r="E1" s="662"/>
      <c r="F1" s="662"/>
      <c r="G1" s="662"/>
      <c r="H1" s="662"/>
      <c r="I1" s="662"/>
      <c r="J1" s="662"/>
      <c r="K1" s="662"/>
      <c r="L1" s="662"/>
      <c r="M1" s="662"/>
      <c r="N1" s="662"/>
      <c r="O1" s="662"/>
      <c r="P1" s="662"/>
    </row>
    <row r="2" spans="1:16" ht="18.5">
      <c r="A2" s="662"/>
      <c r="B2" s="635"/>
      <c r="C2" s="635"/>
      <c r="D2" s="635"/>
      <c r="E2" s="635"/>
      <c r="F2" s="635"/>
      <c r="G2" s="635"/>
      <c r="H2" s="635"/>
      <c r="I2" s="635"/>
      <c r="J2" s="635"/>
      <c r="K2" s="635"/>
      <c r="L2" s="635"/>
      <c r="M2" s="635"/>
      <c r="N2" s="635"/>
      <c r="O2" s="635"/>
      <c r="P2" s="635"/>
    </row>
    <row r="3" spans="1:16" s="635" customFormat="1" ht="25.5" customHeight="1">
      <c r="A3" s="680" t="s">
        <v>251</v>
      </c>
      <c r="B3" s="661"/>
      <c r="C3" s="661"/>
      <c r="D3" s="661"/>
      <c r="E3" s="661"/>
      <c r="F3" s="661"/>
      <c r="G3" s="661"/>
      <c r="H3" s="661"/>
      <c r="I3" s="661"/>
      <c r="J3" s="661"/>
      <c r="K3" s="661"/>
      <c r="L3" s="661"/>
      <c r="M3" s="661"/>
      <c r="N3" s="661"/>
      <c r="O3" s="661"/>
      <c r="P3" s="661"/>
    </row>
    <row r="4" spans="1:16" s="635" customFormat="1">
      <c r="A4" s="680"/>
    </row>
    <row r="5" spans="1:16" s="635" customFormat="1">
      <c r="A5" s="680" t="s">
        <v>252</v>
      </c>
    </row>
    <row r="6" spans="1:16" s="635" customFormat="1" ht="31">
      <c r="A6" s="680" t="s">
        <v>198</v>
      </c>
    </row>
    <row r="7" spans="1:16" s="635" customFormat="1" ht="14.5"/>
    <row r="8" spans="1:16" s="635" customFormat="1">
      <c r="A8" s="681" t="s">
        <v>199</v>
      </c>
    </row>
    <row r="9" spans="1:16" s="635" customFormat="1" ht="14.5">
      <c r="A9" s="635" t="s">
        <v>186</v>
      </c>
    </row>
    <row r="10" spans="1:16" s="635" customFormat="1" ht="14.5">
      <c r="A10" s="635" t="s">
        <v>200</v>
      </c>
    </row>
    <row r="11" spans="1:16" s="635" customFormat="1" ht="14.5">
      <c r="A11" s="635" t="s">
        <v>196</v>
      </c>
    </row>
    <row r="12" spans="1:16" s="635" customFormat="1" ht="14.5">
      <c r="A12" s="635" t="s">
        <v>201</v>
      </c>
    </row>
    <row r="13" spans="1:16" s="635" customFormat="1" ht="14.5">
      <c r="A13" s="635" t="s">
        <v>202</v>
      </c>
    </row>
    <row r="14" spans="1:16" s="635" customFormat="1" ht="14.5">
      <c r="A14" s="635" t="s">
        <v>189</v>
      </c>
    </row>
    <row r="15" spans="1:16" s="635" customFormat="1" ht="14.5">
      <c r="A15" s="635" t="s">
        <v>188</v>
      </c>
    </row>
    <row r="16" spans="1:16">
      <c r="A16" s="635" t="s">
        <v>190</v>
      </c>
      <c r="B16" s="635"/>
      <c r="C16" s="635"/>
      <c r="D16" s="635"/>
      <c r="E16" s="635"/>
      <c r="F16" s="635"/>
      <c r="G16" s="635"/>
      <c r="H16" s="635"/>
      <c r="I16" s="635"/>
      <c r="J16" s="635"/>
      <c r="K16" s="635"/>
      <c r="L16" s="635"/>
      <c r="M16" s="635"/>
      <c r="N16" s="635"/>
      <c r="O16" s="635"/>
      <c r="P16" s="635"/>
    </row>
    <row r="17" spans="1:16">
      <c r="A17" s="635" t="s">
        <v>191</v>
      </c>
      <c r="B17" s="635"/>
      <c r="C17" s="635"/>
      <c r="D17" s="635"/>
      <c r="E17" s="635"/>
      <c r="F17" s="635"/>
      <c r="G17" s="635"/>
      <c r="H17" s="635"/>
      <c r="I17" s="635"/>
      <c r="J17" s="635"/>
      <c r="K17" s="635"/>
      <c r="L17" s="635"/>
      <c r="M17" s="635"/>
      <c r="N17" s="635"/>
      <c r="O17" s="635"/>
      <c r="P17" s="635"/>
    </row>
    <row r="18" spans="1:16">
      <c r="A18" s="635" t="s">
        <v>192</v>
      </c>
      <c r="B18" s="635"/>
      <c r="C18" s="635"/>
      <c r="D18" s="635"/>
      <c r="E18" s="635"/>
      <c r="F18" s="635"/>
      <c r="G18" s="635"/>
      <c r="H18" s="635"/>
      <c r="I18" s="635"/>
      <c r="J18" s="635"/>
      <c r="K18" s="635"/>
      <c r="L18" s="635"/>
      <c r="M18" s="635"/>
      <c r="N18" s="635"/>
      <c r="O18" s="635"/>
      <c r="P18" s="635"/>
    </row>
    <row r="19" spans="1:16">
      <c r="A19" s="635" t="s">
        <v>193</v>
      </c>
      <c r="B19" s="635"/>
      <c r="C19" s="635"/>
      <c r="D19" s="635"/>
      <c r="E19" s="635"/>
      <c r="F19" s="635"/>
      <c r="G19" s="635"/>
      <c r="H19" s="635"/>
      <c r="I19" s="635"/>
      <c r="J19" s="635"/>
      <c r="K19" s="635"/>
      <c r="L19" s="635"/>
      <c r="M19" s="635"/>
      <c r="N19" s="635"/>
      <c r="O19" s="635"/>
      <c r="P19" s="635"/>
    </row>
    <row r="20" spans="1:16" s="660" customFormat="1" ht="15.75" customHeight="1">
      <c r="A20" s="635" t="s">
        <v>194</v>
      </c>
      <c r="B20" s="635"/>
      <c r="C20" s="635"/>
      <c r="D20" s="635"/>
      <c r="E20" s="635"/>
      <c r="F20" s="635"/>
      <c r="G20" s="635"/>
      <c r="H20" s="635"/>
      <c r="I20" s="635"/>
      <c r="J20" s="635"/>
      <c r="K20" s="635"/>
      <c r="L20" s="635"/>
      <c r="M20" s="635"/>
      <c r="N20" s="635"/>
      <c r="O20" s="635"/>
      <c r="P20" s="635"/>
    </row>
    <row r="21" spans="1:16">
      <c r="A21" s="635" t="s">
        <v>195</v>
      </c>
      <c r="B21" s="635"/>
      <c r="C21" s="635"/>
      <c r="D21" s="635"/>
      <c r="E21" s="635"/>
      <c r="F21" s="635"/>
      <c r="G21" s="635"/>
      <c r="H21" s="635"/>
      <c r="I21" s="635"/>
      <c r="J21" s="635"/>
      <c r="K21" s="635"/>
      <c r="L21" s="635"/>
      <c r="M21" s="635"/>
      <c r="N21" s="635"/>
      <c r="O21" s="635"/>
      <c r="P21" s="635"/>
    </row>
    <row r="22" spans="1:16">
      <c r="A22" s="635"/>
      <c r="B22" s="635"/>
      <c r="C22" s="635"/>
      <c r="D22" s="635"/>
      <c r="E22" s="635"/>
      <c r="F22" s="635"/>
      <c r="G22" s="635"/>
      <c r="H22" s="635"/>
      <c r="I22" s="635"/>
      <c r="J22" s="635"/>
      <c r="K22" s="635"/>
      <c r="L22" s="635"/>
      <c r="M22" s="635"/>
      <c r="N22" s="635"/>
      <c r="O22" s="635"/>
      <c r="P22" s="635"/>
    </row>
    <row r="23" spans="1:16">
      <c r="A23" s="680" t="s">
        <v>253</v>
      </c>
      <c r="B23" s="635"/>
      <c r="C23" s="635"/>
      <c r="D23" s="635"/>
      <c r="E23" s="635"/>
      <c r="F23" s="635"/>
      <c r="G23" s="635"/>
      <c r="H23" s="635"/>
      <c r="I23" s="635"/>
      <c r="J23" s="635"/>
      <c r="K23" s="635"/>
      <c r="L23" s="635"/>
      <c r="M23" s="635"/>
      <c r="N23" s="635"/>
      <c r="O23" s="635"/>
      <c r="P23" s="635"/>
    </row>
    <row r="24" spans="1:16" ht="19.5" customHeight="1">
      <c r="A24" s="661" t="s">
        <v>197</v>
      </c>
      <c r="B24" s="635"/>
      <c r="C24" s="635"/>
      <c r="D24" s="635"/>
      <c r="E24" s="635"/>
      <c r="F24" s="635"/>
      <c r="G24" s="635"/>
      <c r="H24" s="635"/>
      <c r="I24" s="635"/>
      <c r="J24" s="635"/>
      <c r="K24" s="635"/>
      <c r="L24" s="635"/>
      <c r="M24" s="635"/>
      <c r="N24" s="635"/>
      <c r="O24" s="635"/>
      <c r="P24" s="635"/>
    </row>
    <row r="25" spans="1:16" ht="34.5" customHeight="1">
      <c r="A25" s="635" t="s">
        <v>203</v>
      </c>
      <c r="B25"/>
      <c r="C25"/>
      <c r="D25"/>
      <c r="E25"/>
      <c r="F25"/>
      <c r="G25"/>
      <c r="H25"/>
      <c r="I25"/>
      <c r="J25"/>
      <c r="K25"/>
      <c r="L25"/>
      <c r="M25"/>
      <c r="N25"/>
      <c r="O25"/>
      <c r="P25"/>
    </row>
    <row r="26" spans="1:16">
      <c r="A26" s="635" t="s">
        <v>204</v>
      </c>
    </row>
    <row r="27" spans="1:16">
      <c r="A27" s="635" t="s">
        <v>205</v>
      </c>
    </row>
    <row r="28" spans="1:16">
      <c r="A28" s="635"/>
    </row>
    <row r="29" spans="1:16">
      <c r="A29" s="680" t="s">
        <v>256</v>
      </c>
    </row>
    <row r="30" spans="1:16">
      <c r="A30" s="635" t="s">
        <v>254</v>
      </c>
    </row>
    <row r="31" spans="1:16">
      <c r="A31" s="635" t="s">
        <v>258</v>
      </c>
    </row>
    <row r="32" spans="1:16">
      <c r="A32" s="635" t="s">
        <v>255</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V125"/>
  <sheetViews>
    <sheetView zoomScale="115" zoomScaleNormal="115" workbookViewId="0">
      <pane xSplit="2" ySplit="7" topLeftCell="C8" activePane="bottomRight" state="frozen"/>
      <selection pane="topRight"/>
      <selection pane="bottomLeft"/>
      <selection pane="bottomRight"/>
    </sheetView>
  </sheetViews>
  <sheetFormatPr defaultColWidth="9.765625" defaultRowHeight="15.5"/>
  <cols>
    <col min="1" max="1" width="7.765625" style="7" customWidth="1"/>
    <col min="2" max="2" width="8" style="7" customWidth="1"/>
    <col min="3" max="4" width="7.765625" style="7" customWidth="1"/>
    <col min="5" max="5" width="4.765625" style="7" customWidth="1"/>
    <col min="6" max="7" width="7.765625" style="7" customWidth="1"/>
    <col min="8" max="8" width="4.765625" style="7" customWidth="1"/>
    <col min="9" max="10" width="7.765625" style="7" customWidth="1"/>
    <col min="11" max="11" width="4.765625" style="7" customWidth="1"/>
    <col min="12" max="16384" width="9.765625" style="7"/>
  </cols>
  <sheetData>
    <row r="1" spans="1:256" ht="16.149999999999999" customHeight="1">
      <c r="A1" s="406" t="s">
        <v>121</v>
      </c>
      <c r="B1" s="407"/>
      <c r="C1" s="407"/>
      <c r="D1" s="407"/>
      <c r="E1" s="407"/>
      <c r="F1" s="407"/>
      <c r="G1" s="407"/>
      <c r="H1" s="407"/>
      <c r="I1" s="407"/>
      <c r="J1" s="407"/>
      <c r="K1" s="408"/>
      <c r="L1" s="1"/>
      <c r="M1" s="1"/>
      <c r="N1" s="1"/>
      <c r="O1" s="1"/>
      <c r="P1" s="1"/>
      <c r="Q1" s="1"/>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row>
    <row r="2" spans="1:256" ht="16.149999999999999" customHeight="1">
      <c r="A2" s="409" t="str">
        <f>Titles!A2</f>
        <v>Housing Start Data in Centres 10,000 Population and Over</v>
      </c>
      <c r="B2" s="410"/>
      <c r="C2" s="410"/>
      <c r="D2" s="410"/>
      <c r="E2" s="410"/>
      <c r="F2" s="410"/>
      <c r="G2" s="410"/>
      <c r="H2" s="410"/>
      <c r="I2" s="410"/>
      <c r="J2" s="410"/>
      <c r="K2" s="411"/>
      <c r="L2" s="1"/>
      <c r="M2" s="1"/>
      <c r="N2" s="1"/>
      <c r="O2" s="1"/>
      <c r="P2" s="1"/>
      <c r="Q2" s="1"/>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row>
    <row r="3" spans="1:256" ht="16.149999999999999" customHeight="1">
      <c r="A3" s="437"/>
      <c r="B3" s="438"/>
      <c r="C3" s="438"/>
      <c r="D3" s="438"/>
      <c r="E3" s="438"/>
      <c r="F3" s="438"/>
      <c r="G3" s="438"/>
      <c r="H3" s="438"/>
      <c r="I3" s="438"/>
      <c r="J3" s="438"/>
      <c r="K3" s="439"/>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row>
    <row r="4" spans="1:256" ht="16.149999999999999" customHeight="1" thickBot="1">
      <c r="A4" s="412" t="str">
        <f>Titles!A4</f>
        <v>February 2025 - 2026</v>
      </c>
      <c r="B4" s="413"/>
      <c r="C4" s="413"/>
      <c r="D4" s="413"/>
      <c r="E4" s="413"/>
      <c r="F4" s="413"/>
      <c r="G4" s="413"/>
      <c r="H4" s="413"/>
      <c r="I4" s="413"/>
      <c r="J4" s="413"/>
      <c r="K4" s="414"/>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c r="IV4" s="2"/>
    </row>
    <row r="5" spans="1:256" ht="11.15" customHeight="1">
      <c r="A5" s="48" t="s">
        <v>249</v>
      </c>
      <c r="B5" s="56"/>
      <c r="C5" s="765" t="s">
        <v>48</v>
      </c>
      <c r="D5" s="766"/>
      <c r="E5" s="767"/>
      <c r="F5" s="765" t="s">
        <v>47</v>
      </c>
      <c r="G5" s="766"/>
      <c r="H5" s="767"/>
      <c r="I5" s="765" t="s">
        <v>44</v>
      </c>
      <c r="J5" s="766"/>
      <c r="K5" s="771"/>
      <c r="L5" s="8"/>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c r="IV5" s="2"/>
    </row>
    <row r="6" spans="1:256" ht="11.15" customHeight="1">
      <c r="A6" s="49" t="s">
        <v>0</v>
      </c>
      <c r="B6" s="56"/>
      <c r="C6" s="768"/>
      <c r="D6" s="769"/>
      <c r="E6" s="770"/>
      <c r="F6" s="768"/>
      <c r="G6" s="769"/>
      <c r="H6" s="770"/>
      <c r="I6" s="768"/>
      <c r="J6" s="769"/>
      <c r="K6" s="772"/>
      <c r="L6" s="8"/>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c r="IV6" s="2"/>
    </row>
    <row r="7" spans="1:256" ht="12" customHeight="1">
      <c r="A7" s="396"/>
      <c r="B7" s="57"/>
      <c r="C7" s="14">
        <f>Titles!A22</f>
        <v>2025</v>
      </c>
      <c r="D7" s="14">
        <f>Titles!A23</f>
        <v>2026</v>
      </c>
      <c r="E7" s="15" t="s">
        <v>46</v>
      </c>
      <c r="F7" s="14">
        <f>Titles!A22</f>
        <v>2025</v>
      </c>
      <c r="G7" s="14">
        <f>Titles!A23</f>
        <v>2026</v>
      </c>
      <c r="H7" s="15" t="s">
        <v>46</v>
      </c>
      <c r="I7" s="14">
        <f>Titles!A22</f>
        <v>2025</v>
      </c>
      <c r="J7" s="14">
        <f>Titles!A23</f>
        <v>2026</v>
      </c>
      <c r="K7" s="16" t="s">
        <v>46</v>
      </c>
      <c r="L7" s="8"/>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row>
    <row r="8" spans="1:256" ht="11.9" customHeight="1">
      <c r="A8" s="18" t="s">
        <v>178</v>
      </c>
      <c r="B8" s="19"/>
      <c r="C8" s="20">
        <v>20</v>
      </c>
      <c r="D8" s="20">
        <v>18</v>
      </c>
      <c r="E8" s="250">
        <f>IF(C8=D8,"-",IF((C8=0),"##",IF(ABS((D8/C8-1)*100)&gt;=500,"##",(D8/C8-1)*100)))</f>
        <v>-9.9999999999999982</v>
      </c>
      <c r="F8" s="20">
        <v>19</v>
      </c>
      <c r="G8" s="21">
        <v>27</v>
      </c>
      <c r="H8" s="250">
        <f t="shared" ref="H8:H20" si="0">IF(F8=G8,"-",IF((F8=0),"##",IF(ABS((G8/F8-1)*100)&gt;=500,"##",(G8/F8-1)*100)))</f>
        <v>42.105263157894733</v>
      </c>
      <c r="I8" s="20">
        <f>C8+F8</f>
        <v>39</v>
      </c>
      <c r="J8" s="22">
        <f>D8+G8</f>
        <v>45</v>
      </c>
      <c r="K8" s="257">
        <f t="shared" ref="K8:K20" si="1">IF(I8=J8,"-",IF((I8=0),"##",IF(ABS((J8/I8-1)*100)&gt;=500,"##",(J8/I8-1)*100)))</f>
        <v>15.384615384615374</v>
      </c>
      <c r="L8" s="8"/>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c r="IV8" s="2"/>
    </row>
    <row r="9" spans="1:256" ht="11.9" customHeight="1">
      <c r="A9" s="24" t="s">
        <v>1</v>
      </c>
      <c r="B9" s="25"/>
      <c r="C9" s="26">
        <v>15</v>
      </c>
      <c r="D9" s="26">
        <v>13</v>
      </c>
      <c r="E9" s="251">
        <f t="shared" ref="E9:E20" si="2">IF(C9=D9,"-",IF((C9=0),"##",IF(ABS((D9/C9-1)*100)&gt;=500,"##",(D9/C9-1)*100)))</f>
        <v>-13.33333333333333</v>
      </c>
      <c r="F9" s="26">
        <v>48</v>
      </c>
      <c r="G9" s="27">
        <v>92</v>
      </c>
      <c r="H9" s="251">
        <f t="shared" si="0"/>
        <v>91.666666666666671</v>
      </c>
      <c r="I9" s="26">
        <f t="shared" ref="I9:I20" si="3">C9+F9</f>
        <v>63</v>
      </c>
      <c r="J9" s="28">
        <f t="shared" ref="J9:J20" si="4">D9+G9</f>
        <v>105</v>
      </c>
      <c r="K9" s="258">
        <f t="shared" si="1"/>
        <v>66.666666666666671</v>
      </c>
      <c r="L9" s="8"/>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row>
    <row r="10" spans="1:256" ht="11.9" customHeight="1">
      <c r="A10" s="24" t="s">
        <v>2</v>
      </c>
      <c r="B10" s="25"/>
      <c r="C10" s="26">
        <v>46</v>
      </c>
      <c r="D10" s="26">
        <v>43</v>
      </c>
      <c r="E10" s="251">
        <f t="shared" si="2"/>
        <v>-6.5217391304347778</v>
      </c>
      <c r="F10" s="26">
        <v>435</v>
      </c>
      <c r="G10" s="27">
        <v>428</v>
      </c>
      <c r="H10" s="251">
        <f t="shared" si="0"/>
        <v>-1.6091954022988464</v>
      </c>
      <c r="I10" s="26">
        <f t="shared" si="3"/>
        <v>481</v>
      </c>
      <c r="J10" s="28">
        <f t="shared" si="4"/>
        <v>471</v>
      </c>
      <c r="K10" s="258">
        <f t="shared" si="1"/>
        <v>-2.0790020790020791</v>
      </c>
      <c r="L10" s="8"/>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
      <c r="HS10" s="2"/>
      <c r="HT10" s="2"/>
      <c r="HU10" s="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c r="IV10" s="2"/>
    </row>
    <row r="11" spans="1:256" ht="11.9" customHeight="1">
      <c r="A11" s="24" t="s">
        <v>3</v>
      </c>
      <c r="B11" s="25"/>
      <c r="C11" s="26">
        <v>20</v>
      </c>
      <c r="D11" s="26">
        <v>9</v>
      </c>
      <c r="E11" s="251">
        <f t="shared" si="2"/>
        <v>-55.000000000000007</v>
      </c>
      <c r="F11" s="26">
        <v>270</v>
      </c>
      <c r="G11" s="27">
        <v>203</v>
      </c>
      <c r="H11" s="251">
        <f t="shared" si="0"/>
        <v>-24.814814814814813</v>
      </c>
      <c r="I11" s="26">
        <f t="shared" si="3"/>
        <v>290</v>
      </c>
      <c r="J11" s="28">
        <f t="shared" si="4"/>
        <v>212</v>
      </c>
      <c r="K11" s="258">
        <f t="shared" si="1"/>
        <v>-26.896551724137929</v>
      </c>
      <c r="L11" s="8"/>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row>
    <row r="12" spans="1:256" ht="11.9" customHeight="1">
      <c r="A12" s="24" t="s">
        <v>4</v>
      </c>
      <c r="B12" s="25"/>
      <c r="C12" s="26">
        <f>SUM(C8:C11)</f>
        <v>101</v>
      </c>
      <c r="D12" s="26">
        <f>SUM(D8:D11)</f>
        <v>83</v>
      </c>
      <c r="E12" s="251">
        <f t="shared" si="2"/>
        <v>-17.821782178217827</v>
      </c>
      <c r="F12" s="26">
        <f>SUM(F8:F11)</f>
        <v>772</v>
      </c>
      <c r="G12" s="27">
        <f>SUM(G8:G11)</f>
        <v>750</v>
      </c>
      <c r="H12" s="251">
        <f t="shared" si="0"/>
        <v>-2.8497409326424861</v>
      </c>
      <c r="I12" s="26">
        <f t="shared" si="3"/>
        <v>873</v>
      </c>
      <c r="J12" s="28">
        <f t="shared" si="4"/>
        <v>833</v>
      </c>
      <c r="K12" s="258">
        <f t="shared" si="1"/>
        <v>-4.5819014891179783</v>
      </c>
      <c r="L12" s="8"/>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c r="IV12" s="2"/>
    </row>
    <row r="13" spans="1:256" ht="11.9" customHeight="1">
      <c r="A13" s="24" t="s">
        <v>5</v>
      </c>
      <c r="B13" s="25"/>
      <c r="C13" s="26">
        <v>178</v>
      </c>
      <c r="D13" s="26">
        <v>203</v>
      </c>
      <c r="E13" s="251">
        <f t="shared" si="2"/>
        <v>14.04494382022472</v>
      </c>
      <c r="F13" s="26">
        <v>2203</v>
      </c>
      <c r="G13" s="27">
        <v>2526</v>
      </c>
      <c r="H13" s="251">
        <f t="shared" si="0"/>
        <v>14.661824784384937</v>
      </c>
      <c r="I13" s="26">
        <f t="shared" si="3"/>
        <v>2381</v>
      </c>
      <c r="J13" s="28">
        <f t="shared" si="4"/>
        <v>2729</v>
      </c>
      <c r="K13" s="258">
        <f t="shared" si="1"/>
        <v>14.61570768584628</v>
      </c>
      <c r="L13" s="8"/>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c r="IU13" s="2"/>
      <c r="IV13" s="2"/>
    </row>
    <row r="14" spans="1:256" ht="11.9" customHeight="1">
      <c r="A14" s="24" t="s">
        <v>6</v>
      </c>
      <c r="B14" s="25"/>
      <c r="C14" s="26">
        <v>522</v>
      </c>
      <c r="D14" s="26">
        <v>387</v>
      </c>
      <c r="E14" s="251">
        <f t="shared" si="2"/>
        <v>-25.862068965517238</v>
      </c>
      <c r="F14" s="26">
        <v>3467</v>
      </c>
      <c r="G14" s="27">
        <v>4278</v>
      </c>
      <c r="H14" s="251">
        <f t="shared" si="0"/>
        <v>23.391981540236518</v>
      </c>
      <c r="I14" s="26">
        <f t="shared" si="3"/>
        <v>3989</v>
      </c>
      <c r="J14" s="28">
        <f t="shared" si="4"/>
        <v>4665</v>
      </c>
      <c r="K14" s="258">
        <f t="shared" si="1"/>
        <v>16.94660315868639</v>
      </c>
      <c r="L14" s="8"/>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row>
    <row r="15" spans="1:256" ht="11.9" customHeight="1">
      <c r="A15" s="24" t="s">
        <v>7</v>
      </c>
      <c r="B15" s="25"/>
      <c r="C15" s="26">
        <v>160</v>
      </c>
      <c r="D15" s="26">
        <v>139</v>
      </c>
      <c r="E15" s="251">
        <f t="shared" si="2"/>
        <v>-13.124999999999998</v>
      </c>
      <c r="F15" s="26">
        <v>159</v>
      </c>
      <c r="G15" s="27">
        <v>515</v>
      </c>
      <c r="H15" s="251">
        <f t="shared" si="0"/>
        <v>223.89937106918239</v>
      </c>
      <c r="I15" s="26">
        <f t="shared" si="3"/>
        <v>319</v>
      </c>
      <c r="J15" s="28">
        <f t="shared" si="4"/>
        <v>654</v>
      </c>
      <c r="K15" s="258">
        <f t="shared" si="1"/>
        <v>105.0156739811912</v>
      </c>
      <c r="L15" s="8"/>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row>
    <row r="16" spans="1:256" ht="11.9" customHeight="1">
      <c r="A16" s="24" t="s">
        <v>8</v>
      </c>
      <c r="B16" s="25"/>
      <c r="C16" s="26">
        <v>98</v>
      </c>
      <c r="D16" s="26">
        <v>126</v>
      </c>
      <c r="E16" s="251">
        <f t="shared" si="2"/>
        <v>28.57142857142858</v>
      </c>
      <c r="F16" s="26">
        <v>360</v>
      </c>
      <c r="G16" s="27">
        <v>251</v>
      </c>
      <c r="H16" s="251">
        <f t="shared" si="0"/>
        <v>-30.277777777777782</v>
      </c>
      <c r="I16" s="26">
        <f t="shared" si="3"/>
        <v>458</v>
      </c>
      <c r="J16" s="28">
        <f t="shared" si="4"/>
        <v>377</v>
      </c>
      <c r="K16" s="258">
        <f t="shared" si="1"/>
        <v>-17.685589519650659</v>
      </c>
      <c r="L16" s="8"/>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row>
    <row r="17" spans="1:256" ht="11.9" customHeight="1">
      <c r="A17" s="24" t="s">
        <v>9</v>
      </c>
      <c r="B17" s="25"/>
      <c r="C17" s="26">
        <v>1127</v>
      </c>
      <c r="D17" s="26">
        <v>956</v>
      </c>
      <c r="E17" s="251">
        <f t="shared" si="2"/>
        <v>-15.173025732031942</v>
      </c>
      <c r="F17" s="26">
        <v>3068</v>
      </c>
      <c r="G17" s="27">
        <v>2338</v>
      </c>
      <c r="H17" s="251">
        <f t="shared" si="0"/>
        <v>-23.794002607561925</v>
      </c>
      <c r="I17" s="26">
        <f t="shared" si="3"/>
        <v>4195</v>
      </c>
      <c r="J17" s="28">
        <f t="shared" si="4"/>
        <v>3294</v>
      </c>
      <c r="K17" s="258">
        <f t="shared" si="1"/>
        <v>-21.477949940405249</v>
      </c>
      <c r="L17" s="8"/>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row>
    <row r="18" spans="1:256" ht="11.9" customHeight="1">
      <c r="A18" s="24" t="s">
        <v>10</v>
      </c>
      <c r="B18" s="25"/>
      <c r="C18" s="26">
        <f>SUM(C15:C17)</f>
        <v>1385</v>
      </c>
      <c r="D18" s="26">
        <f>SUM(D15:D17)</f>
        <v>1221</v>
      </c>
      <c r="E18" s="251">
        <f t="shared" si="2"/>
        <v>-11.841155234657041</v>
      </c>
      <c r="F18" s="26">
        <f>SUM(F15:F17)</f>
        <v>3587</v>
      </c>
      <c r="G18" s="27">
        <f>SUM(G15:G17)</f>
        <v>3104</v>
      </c>
      <c r="H18" s="251">
        <f t="shared" si="0"/>
        <v>-13.465291329802065</v>
      </c>
      <c r="I18" s="26">
        <f t="shared" si="3"/>
        <v>4972</v>
      </c>
      <c r="J18" s="28">
        <f t="shared" si="4"/>
        <v>4325</v>
      </c>
      <c r="K18" s="258">
        <f t="shared" si="1"/>
        <v>-13.012872083668547</v>
      </c>
      <c r="L18" s="8"/>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row>
    <row r="19" spans="1:256" ht="11.9" customHeight="1">
      <c r="A19" s="30" t="s">
        <v>11</v>
      </c>
      <c r="B19" s="31"/>
      <c r="C19" s="32">
        <v>236</v>
      </c>
      <c r="D19" s="32">
        <v>247</v>
      </c>
      <c r="E19" s="252">
        <f t="shared" si="2"/>
        <v>4.6610169491525522</v>
      </c>
      <c r="F19" s="32">
        <v>1969</v>
      </c>
      <c r="G19" s="33">
        <v>3087</v>
      </c>
      <c r="H19" s="252">
        <f t="shared" si="0"/>
        <v>56.780091416962918</v>
      </c>
      <c r="I19" s="32">
        <f t="shared" si="3"/>
        <v>2205</v>
      </c>
      <c r="J19" s="34">
        <f t="shared" si="4"/>
        <v>3334</v>
      </c>
      <c r="K19" s="259">
        <f t="shared" si="1"/>
        <v>51.20181405895692</v>
      </c>
      <c r="L19" s="8"/>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row>
    <row r="20" spans="1:256" ht="13.5" customHeight="1">
      <c r="A20" s="36" t="s">
        <v>12</v>
      </c>
      <c r="B20" s="37"/>
      <c r="C20" s="38">
        <f>SUM(C12:C14,C18:C19)</f>
        <v>2422</v>
      </c>
      <c r="D20" s="38">
        <f>SUM(D12:D14,D18:D19)</f>
        <v>2141</v>
      </c>
      <c r="E20" s="253">
        <f t="shared" si="2"/>
        <v>-11.601981833195707</v>
      </c>
      <c r="F20" s="38">
        <f>SUM(F12:F14,F18:F19)</f>
        <v>11998</v>
      </c>
      <c r="G20" s="38">
        <f>SUM(G12:G14,G18:G19)</f>
        <v>13745</v>
      </c>
      <c r="H20" s="253">
        <f t="shared" si="0"/>
        <v>14.560760126687789</v>
      </c>
      <c r="I20" s="38">
        <f t="shared" si="3"/>
        <v>14420</v>
      </c>
      <c r="J20" s="38">
        <f t="shared" si="4"/>
        <v>15886</v>
      </c>
      <c r="K20" s="260">
        <f t="shared" si="1"/>
        <v>10.166435506241323</v>
      </c>
      <c r="L20" s="8"/>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row>
    <row r="21" spans="1:256" ht="12" customHeight="1">
      <c r="A21" s="48" t="s">
        <v>13</v>
      </c>
      <c r="B21" s="194"/>
      <c r="C21" s="72"/>
      <c r="D21" s="72"/>
      <c r="E21" s="254"/>
      <c r="F21" s="72"/>
      <c r="G21" s="72"/>
      <c r="H21" s="254"/>
      <c r="I21" s="72"/>
      <c r="J21" s="72"/>
      <c r="K21" s="261"/>
      <c r="L21" s="8"/>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row>
    <row r="22" spans="1:256" ht="12" customHeight="1">
      <c r="A22" s="49"/>
      <c r="B22" s="194"/>
      <c r="C22" s="72"/>
      <c r="D22" s="72"/>
      <c r="E22" s="254"/>
      <c r="F22" s="72"/>
      <c r="G22" s="72"/>
      <c r="H22" s="254"/>
      <c r="I22" s="72"/>
      <c r="J22" s="72"/>
      <c r="K22" s="261"/>
      <c r="L22" s="8"/>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row>
    <row r="23" spans="1:256" ht="11.9" customHeight="1">
      <c r="A23" s="18" t="s">
        <v>104</v>
      </c>
      <c r="B23" s="22"/>
      <c r="C23" s="40">
        <v>4</v>
      </c>
      <c r="D23" s="40">
        <v>4</v>
      </c>
      <c r="E23" s="250" t="str">
        <f t="shared" ref="E23:E66" si="5">IF(C23=D23,"-",IF((C23=0),"##",IF(ABS((D23/C23-1)*100)&gt;=500,"##",(D23/C23-1)*100)))</f>
        <v>-</v>
      </c>
      <c r="F23" s="20">
        <v>152</v>
      </c>
      <c r="G23" s="21">
        <v>7</v>
      </c>
      <c r="H23" s="250">
        <f t="shared" ref="H23:H66" si="6">IF(F23=G23,"-",IF((F23=0),"##",IF(ABS((G23/F23-1)*100)&gt;=500,"##",(G23/F23-1)*100)))</f>
        <v>-95.39473684210526</v>
      </c>
      <c r="I23" s="20">
        <f t="shared" ref="I23:I66" si="7">C23+F23</f>
        <v>156</v>
      </c>
      <c r="J23" s="20">
        <f t="shared" ref="I23:J66" si="8">D23+G23</f>
        <v>11</v>
      </c>
      <c r="K23" s="262">
        <f t="shared" ref="K23:K66" si="9">IF(I23=J23,"-",IF((I23=0),"##",IF(ABS((J23/I23-1)*100)&gt;=500,"##",(J23/I23-1)*100)))</f>
        <v>-92.948717948717956</v>
      </c>
      <c r="L23" s="8"/>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row>
    <row r="24" spans="1:256" ht="11.9" customHeight="1">
      <c r="A24" s="24" t="s">
        <v>14</v>
      </c>
      <c r="B24" s="28"/>
      <c r="C24" s="41">
        <v>12</v>
      </c>
      <c r="D24" s="41">
        <v>18</v>
      </c>
      <c r="E24" s="255">
        <f t="shared" si="5"/>
        <v>50</v>
      </c>
      <c r="F24" s="26">
        <v>33</v>
      </c>
      <c r="G24" s="27">
        <v>30</v>
      </c>
      <c r="H24" s="250">
        <f t="shared" si="6"/>
        <v>-9.0909090909090935</v>
      </c>
      <c r="I24" s="26">
        <f t="shared" si="7"/>
        <v>45</v>
      </c>
      <c r="J24" s="20">
        <f t="shared" si="8"/>
        <v>48</v>
      </c>
      <c r="K24" s="258">
        <f t="shared" si="9"/>
        <v>6.6666666666666652</v>
      </c>
      <c r="L24" s="8"/>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row>
    <row r="25" spans="1:256" ht="11.9" customHeight="1">
      <c r="A25" s="24" t="s">
        <v>185</v>
      </c>
      <c r="B25" s="28"/>
      <c r="C25" s="41">
        <v>10</v>
      </c>
      <c r="D25" s="41">
        <v>1</v>
      </c>
      <c r="E25" s="255">
        <f t="shared" si="5"/>
        <v>-90</v>
      </c>
      <c r="F25" s="41">
        <v>165</v>
      </c>
      <c r="G25" s="27">
        <v>0</v>
      </c>
      <c r="H25" s="250">
        <f t="shared" si="6"/>
        <v>-100</v>
      </c>
      <c r="I25" s="41">
        <f t="shared" si="8"/>
        <v>175</v>
      </c>
      <c r="J25" s="20">
        <f t="shared" si="8"/>
        <v>1</v>
      </c>
      <c r="K25" s="255">
        <f t="shared" si="9"/>
        <v>-99.428571428571431</v>
      </c>
      <c r="L25" s="8"/>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row>
    <row r="26" spans="1:256" ht="11.9" customHeight="1">
      <c r="A26" s="24" t="s">
        <v>15</v>
      </c>
      <c r="B26" s="28"/>
      <c r="C26" s="41">
        <v>3</v>
      </c>
      <c r="D26" s="41">
        <v>19</v>
      </c>
      <c r="E26" s="255" t="str">
        <f t="shared" si="5"/>
        <v>##</v>
      </c>
      <c r="F26" s="26">
        <v>0</v>
      </c>
      <c r="G26" s="27">
        <v>0</v>
      </c>
      <c r="H26" s="250" t="str">
        <f t="shared" si="6"/>
        <v>-</v>
      </c>
      <c r="I26" s="26">
        <f t="shared" si="7"/>
        <v>3</v>
      </c>
      <c r="J26" s="20">
        <f t="shared" si="8"/>
        <v>19</v>
      </c>
      <c r="K26" s="258" t="str">
        <f t="shared" si="9"/>
        <v>##</v>
      </c>
      <c r="L26" s="8"/>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row>
    <row r="27" spans="1:256" ht="11.9" customHeight="1">
      <c r="A27" s="674" t="s">
        <v>16</v>
      </c>
      <c r="B27" s="28"/>
      <c r="C27" s="26">
        <v>500</v>
      </c>
      <c r="D27" s="41">
        <v>424</v>
      </c>
      <c r="E27" s="255">
        <f t="shared" si="5"/>
        <v>-15.200000000000003</v>
      </c>
      <c r="F27" s="26">
        <v>1907</v>
      </c>
      <c r="G27" s="27">
        <v>908</v>
      </c>
      <c r="H27" s="250">
        <f t="shared" si="6"/>
        <v>-52.385946512847404</v>
      </c>
      <c r="I27" s="26">
        <f t="shared" si="7"/>
        <v>2407</v>
      </c>
      <c r="J27" s="20">
        <f t="shared" si="8"/>
        <v>1332</v>
      </c>
      <c r="K27" s="258">
        <f t="shared" si="9"/>
        <v>-44.661404237640213</v>
      </c>
      <c r="L27" s="8"/>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row>
    <row r="28" spans="1:256" ht="11.9" customHeight="1">
      <c r="A28" s="674" t="s">
        <v>179</v>
      </c>
      <c r="B28" s="28"/>
      <c r="C28" s="26">
        <v>8</v>
      </c>
      <c r="D28" s="41">
        <v>7</v>
      </c>
      <c r="E28" s="255">
        <f t="shared" si="5"/>
        <v>-12.5</v>
      </c>
      <c r="F28" s="26">
        <v>42</v>
      </c>
      <c r="G28" s="27">
        <v>10</v>
      </c>
      <c r="H28" s="250">
        <f t="shared" si="6"/>
        <v>-76.19047619047619</v>
      </c>
      <c r="I28" s="26">
        <f t="shared" ref="I28" si="10">C28+F28</f>
        <v>50</v>
      </c>
      <c r="J28" s="20">
        <f t="shared" si="8"/>
        <v>17</v>
      </c>
      <c r="K28" s="258">
        <f t="shared" ref="K28" si="11">IF(I28=J28,"-",IF((I28=0),"##",IF(ABS((J28/I28-1)*100)&gt;=500,"##",(J28/I28-1)*100)))</f>
        <v>-65.999999999999986</v>
      </c>
      <c r="L28" s="8"/>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row>
    <row r="29" spans="1:256" ht="11.9" customHeight="1">
      <c r="A29" s="674" t="s">
        <v>180</v>
      </c>
      <c r="B29" s="28"/>
      <c r="C29" s="41">
        <v>6</v>
      </c>
      <c r="D29" s="41">
        <v>10</v>
      </c>
      <c r="E29" s="255">
        <f t="shared" si="5"/>
        <v>66.666666666666671</v>
      </c>
      <c r="F29" s="26">
        <v>67</v>
      </c>
      <c r="G29" s="27">
        <v>33</v>
      </c>
      <c r="H29" s="250">
        <f t="shared" si="6"/>
        <v>-50.746268656716417</v>
      </c>
      <c r="I29" s="41">
        <f t="shared" ref="I29:I59" si="12">C29+F29</f>
        <v>73</v>
      </c>
      <c r="J29" s="20">
        <f t="shared" si="8"/>
        <v>43</v>
      </c>
      <c r="K29" s="258">
        <f t="shared" ref="K29:K59" si="13">IF(I29=J29,"-",IF((I29=0),"##",IF(ABS((J29/I29-1)*100)&gt;=500,"##",(J29/I29-1)*100)))</f>
        <v>-41.095890410958901</v>
      </c>
      <c r="L29" s="8"/>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row>
    <row r="30" spans="1:256" ht="11.9" customHeight="1">
      <c r="A30" s="674" t="s">
        <v>17</v>
      </c>
      <c r="B30" s="28"/>
      <c r="C30" s="41">
        <v>536</v>
      </c>
      <c r="D30" s="41">
        <v>425</v>
      </c>
      <c r="E30" s="255">
        <f t="shared" si="5"/>
        <v>-20.708955223880597</v>
      </c>
      <c r="F30" s="26">
        <v>942</v>
      </c>
      <c r="G30" s="27">
        <v>1072</v>
      </c>
      <c r="H30" s="250">
        <f t="shared" si="6"/>
        <v>13.800424628450102</v>
      </c>
      <c r="I30" s="41">
        <f t="shared" si="12"/>
        <v>1478</v>
      </c>
      <c r="J30" s="20">
        <f t="shared" si="8"/>
        <v>1497</v>
      </c>
      <c r="K30" s="258">
        <f t="shared" si="13"/>
        <v>1.2855209742895779</v>
      </c>
      <c r="L30" s="8"/>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row>
    <row r="31" spans="1:256" ht="11.9" customHeight="1">
      <c r="A31" s="674" t="s">
        <v>181</v>
      </c>
      <c r="B31" s="28"/>
      <c r="C31" s="26">
        <v>9</v>
      </c>
      <c r="D31" s="41">
        <v>2</v>
      </c>
      <c r="E31" s="255">
        <f t="shared" si="5"/>
        <v>-77.777777777777786</v>
      </c>
      <c r="F31" s="26">
        <v>0</v>
      </c>
      <c r="G31" s="27">
        <v>10</v>
      </c>
      <c r="H31" s="250" t="str">
        <f t="shared" si="6"/>
        <v>##</v>
      </c>
      <c r="I31" s="26">
        <f t="shared" si="12"/>
        <v>9</v>
      </c>
      <c r="J31" s="20">
        <f t="shared" si="8"/>
        <v>12</v>
      </c>
      <c r="K31" s="258">
        <f t="shared" si="13"/>
        <v>33.333333333333329</v>
      </c>
      <c r="L31" s="8"/>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row>
    <row r="32" spans="1:256" ht="11.9" customHeight="1">
      <c r="A32" s="674" t="s">
        <v>102</v>
      </c>
      <c r="B32" s="28"/>
      <c r="C32" s="26">
        <v>0</v>
      </c>
      <c r="D32" s="41">
        <v>1</v>
      </c>
      <c r="E32" s="255" t="str">
        <f t="shared" si="5"/>
        <v>##</v>
      </c>
      <c r="F32" s="26">
        <v>0</v>
      </c>
      <c r="G32" s="27">
        <v>3</v>
      </c>
      <c r="H32" s="250" t="str">
        <f t="shared" si="6"/>
        <v>##</v>
      </c>
      <c r="I32" s="26">
        <f t="shared" si="12"/>
        <v>0</v>
      </c>
      <c r="J32" s="20">
        <f t="shared" si="8"/>
        <v>4</v>
      </c>
      <c r="K32" s="258" t="str">
        <f t="shared" si="13"/>
        <v>##</v>
      </c>
      <c r="L32" s="8"/>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row>
    <row r="33" spans="1:256" ht="11.9" customHeight="1">
      <c r="A33" s="674" t="s">
        <v>18</v>
      </c>
      <c r="B33" s="28"/>
      <c r="C33" s="41">
        <v>0</v>
      </c>
      <c r="D33" s="41">
        <v>2</v>
      </c>
      <c r="E33" s="255" t="str">
        <f t="shared" si="5"/>
        <v>##</v>
      </c>
      <c r="F33" s="26">
        <v>0</v>
      </c>
      <c r="G33" s="27">
        <v>6</v>
      </c>
      <c r="H33" s="250" t="str">
        <f t="shared" si="6"/>
        <v>##</v>
      </c>
      <c r="I33" s="41">
        <f t="shared" si="12"/>
        <v>0</v>
      </c>
      <c r="J33" s="20">
        <f t="shared" si="8"/>
        <v>8</v>
      </c>
      <c r="K33" s="258" t="str">
        <f t="shared" si="13"/>
        <v>##</v>
      </c>
      <c r="L33" s="8"/>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row>
    <row r="34" spans="1:256" ht="11.9" customHeight="1">
      <c r="A34" s="674" t="s">
        <v>19</v>
      </c>
      <c r="B34" s="28"/>
      <c r="C34" s="26">
        <v>31</v>
      </c>
      <c r="D34" s="41">
        <v>20</v>
      </c>
      <c r="E34" s="255">
        <f t="shared" si="5"/>
        <v>-35.483870967741936</v>
      </c>
      <c r="F34" s="26">
        <v>410</v>
      </c>
      <c r="G34" s="27">
        <v>383</v>
      </c>
      <c r="H34" s="250">
        <f t="shared" si="6"/>
        <v>-6.5853658536585318</v>
      </c>
      <c r="I34" s="26">
        <f t="shared" si="12"/>
        <v>441</v>
      </c>
      <c r="J34" s="20">
        <f t="shared" si="8"/>
        <v>403</v>
      </c>
      <c r="K34" s="258">
        <f t="shared" si="13"/>
        <v>-8.6167800453514687</v>
      </c>
      <c r="L34" s="8"/>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row>
    <row r="35" spans="1:256" ht="11.9" customHeight="1">
      <c r="A35" s="674" t="s">
        <v>20</v>
      </c>
      <c r="B35" s="28"/>
      <c r="C35" s="26">
        <v>14</v>
      </c>
      <c r="D35" s="41">
        <v>10</v>
      </c>
      <c r="E35" s="255">
        <f t="shared" si="5"/>
        <v>-28.571428571428569</v>
      </c>
      <c r="F35" s="26">
        <v>410</v>
      </c>
      <c r="G35" s="27">
        <v>501</v>
      </c>
      <c r="H35" s="250">
        <f t="shared" si="6"/>
        <v>22.195121951219509</v>
      </c>
      <c r="I35" s="26">
        <f t="shared" si="12"/>
        <v>424</v>
      </c>
      <c r="J35" s="20">
        <f t="shared" si="8"/>
        <v>511</v>
      </c>
      <c r="K35" s="258">
        <f t="shared" si="13"/>
        <v>20.518867924528305</v>
      </c>
      <c r="L35" s="8"/>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row>
    <row r="36" spans="1:256" ht="11.9" customHeight="1">
      <c r="A36" s="674" t="s">
        <v>182</v>
      </c>
      <c r="B36" s="28"/>
      <c r="C36" s="41">
        <v>15</v>
      </c>
      <c r="D36" s="41">
        <v>9</v>
      </c>
      <c r="E36" s="255">
        <f t="shared" si="5"/>
        <v>-40</v>
      </c>
      <c r="F36" s="41">
        <v>84</v>
      </c>
      <c r="G36" s="27">
        <v>25</v>
      </c>
      <c r="H36" s="250">
        <f t="shared" si="6"/>
        <v>-70.238095238095227</v>
      </c>
      <c r="I36" s="41">
        <f t="shared" si="12"/>
        <v>99</v>
      </c>
      <c r="J36" s="20">
        <f t="shared" si="8"/>
        <v>34</v>
      </c>
      <c r="K36" s="560">
        <f t="shared" si="13"/>
        <v>-65.656565656565661</v>
      </c>
      <c r="L36" s="8"/>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row>
    <row r="37" spans="1:256" ht="11.9" customHeight="1">
      <c r="A37" s="674" t="s">
        <v>21</v>
      </c>
      <c r="B37" s="28"/>
      <c r="C37" s="26">
        <v>11</v>
      </c>
      <c r="D37" s="41">
        <v>11</v>
      </c>
      <c r="E37" s="255" t="str">
        <f t="shared" si="5"/>
        <v>-</v>
      </c>
      <c r="F37" s="26">
        <v>102</v>
      </c>
      <c r="G37" s="27">
        <v>330</v>
      </c>
      <c r="H37" s="250">
        <f t="shared" si="6"/>
        <v>223.52941176470588</v>
      </c>
      <c r="I37" s="26">
        <f t="shared" si="12"/>
        <v>113</v>
      </c>
      <c r="J37" s="20">
        <f t="shared" si="8"/>
        <v>341</v>
      </c>
      <c r="K37" s="258">
        <f t="shared" si="13"/>
        <v>201.76991150442478</v>
      </c>
      <c r="L37" s="8"/>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row>
    <row r="38" spans="1:256" ht="11.9" customHeight="1">
      <c r="A38" s="674" t="s">
        <v>22</v>
      </c>
      <c r="B38" s="28"/>
      <c r="C38" s="41">
        <v>15</v>
      </c>
      <c r="D38" s="41">
        <v>9</v>
      </c>
      <c r="E38" s="255">
        <f t="shared" si="5"/>
        <v>-40</v>
      </c>
      <c r="F38" s="26">
        <v>17</v>
      </c>
      <c r="G38" s="27">
        <v>1</v>
      </c>
      <c r="H38" s="250">
        <f t="shared" si="6"/>
        <v>-94.117647058823522</v>
      </c>
      <c r="I38" s="41">
        <f t="shared" si="12"/>
        <v>32</v>
      </c>
      <c r="J38" s="20">
        <f t="shared" si="8"/>
        <v>10</v>
      </c>
      <c r="K38" s="258">
        <f t="shared" si="13"/>
        <v>-68.75</v>
      </c>
      <c r="L38" s="8"/>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row>
    <row r="39" spans="1:256" ht="36.75" customHeight="1">
      <c r="A39" s="675" t="s">
        <v>103</v>
      </c>
      <c r="B39" s="447"/>
      <c r="C39" s="26">
        <v>12</v>
      </c>
      <c r="D39" s="41">
        <v>11</v>
      </c>
      <c r="E39" s="255">
        <f t="shared" si="5"/>
        <v>-8.3333333333333375</v>
      </c>
      <c r="F39" s="26">
        <v>281</v>
      </c>
      <c r="G39" s="27">
        <v>1028</v>
      </c>
      <c r="H39" s="250">
        <f t="shared" si="6"/>
        <v>265.83629893238435</v>
      </c>
      <c r="I39" s="26">
        <f t="shared" si="12"/>
        <v>293</v>
      </c>
      <c r="J39" s="20">
        <f t="shared" si="8"/>
        <v>1039</v>
      </c>
      <c r="K39" s="258">
        <f t="shared" si="13"/>
        <v>254.60750853242322</v>
      </c>
      <c r="L39" s="8"/>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row>
    <row r="40" spans="1:256" ht="11.9" customHeight="1">
      <c r="A40" s="676" t="s">
        <v>115</v>
      </c>
      <c r="B40" s="355"/>
      <c r="C40" s="26">
        <v>19</v>
      </c>
      <c r="D40" s="41">
        <v>19</v>
      </c>
      <c r="E40" s="255" t="str">
        <f t="shared" si="5"/>
        <v>-</v>
      </c>
      <c r="F40" s="26">
        <v>0</v>
      </c>
      <c r="G40" s="27">
        <v>34</v>
      </c>
      <c r="H40" s="250" t="str">
        <f t="shared" si="6"/>
        <v>##</v>
      </c>
      <c r="I40" s="26">
        <f t="shared" si="12"/>
        <v>19</v>
      </c>
      <c r="J40" s="20">
        <f t="shared" si="8"/>
        <v>53</v>
      </c>
      <c r="K40" s="258">
        <f t="shared" si="13"/>
        <v>178.9473684210526</v>
      </c>
      <c r="L40" s="561"/>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row>
    <row r="41" spans="1:256" ht="11.9" customHeight="1">
      <c r="A41" s="674" t="s">
        <v>23</v>
      </c>
      <c r="B41" s="28"/>
      <c r="C41" s="42">
        <v>23</v>
      </c>
      <c r="D41" s="41">
        <v>19</v>
      </c>
      <c r="E41" s="255">
        <f t="shared" si="5"/>
        <v>-17.391304347826086</v>
      </c>
      <c r="F41" s="26">
        <v>66</v>
      </c>
      <c r="G41" s="27">
        <v>42</v>
      </c>
      <c r="H41" s="250">
        <f t="shared" si="6"/>
        <v>-36.363636363636367</v>
      </c>
      <c r="I41" s="42">
        <f t="shared" si="12"/>
        <v>89</v>
      </c>
      <c r="J41" s="20">
        <f t="shared" si="8"/>
        <v>61</v>
      </c>
      <c r="K41" s="258">
        <f t="shared" si="13"/>
        <v>-31.460674157303369</v>
      </c>
      <c r="L41" s="8"/>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row>
    <row r="42" spans="1:256" ht="11.9" customHeight="1">
      <c r="A42" s="674" t="s">
        <v>24</v>
      </c>
      <c r="B42" s="28"/>
      <c r="C42" s="26">
        <v>3</v>
      </c>
      <c r="D42" s="41">
        <v>2</v>
      </c>
      <c r="E42" s="255">
        <f t="shared" si="5"/>
        <v>-33.333333333333336</v>
      </c>
      <c r="F42" s="26">
        <v>264</v>
      </c>
      <c r="G42" s="27">
        <v>92</v>
      </c>
      <c r="H42" s="250">
        <f t="shared" si="6"/>
        <v>-65.151515151515156</v>
      </c>
      <c r="I42" s="26">
        <f t="shared" si="12"/>
        <v>267</v>
      </c>
      <c r="J42" s="20">
        <f t="shared" si="8"/>
        <v>94</v>
      </c>
      <c r="K42" s="258">
        <f t="shared" si="13"/>
        <v>-64.794007490636702</v>
      </c>
      <c r="L42" s="8"/>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row>
    <row r="43" spans="1:256" ht="11.9" customHeight="1">
      <c r="A43" s="674" t="s">
        <v>25</v>
      </c>
      <c r="B43" s="28"/>
      <c r="C43" s="41">
        <v>52</v>
      </c>
      <c r="D43" s="41">
        <v>56</v>
      </c>
      <c r="E43" s="255">
        <f t="shared" si="5"/>
        <v>7.6923076923076872</v>
      </c>
      <c r="F43" s="26">
        <v>805</v>
      </c>
      <c r="G43" s="27">
        <v>955</v>
      </c>
      <c r="H43" s="250">
        <f t="shared" si="6"/>
        <v>18.633540372670797</v>
      </c>
      <c r="I43" s="41">
        <f t="shared" si="12"/>
        <v>857</v>
      </c>
      <c r="J43" s="20">
        <f t="shared" si="8"/>
        <v>1011</v>
      </c>
      <c r="K43" s="258">
        <f t="shared" si="13"/>
        <v>17.969661610268382</v>
      </c>
      <c r="L43" s="9"/>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row>
    <row r="44" spans="1:256" ht="11.9" customHeight="1">
      <c r="A44" s="674" t="s">
        <v>183</v>
      </c>
      <c r="B44" s="28"/>
      <c r="C44" s="26">
        <v>4</v>
      </c>
      <c r="D44" s="41">
        <v>3</v>
      </c>
      <c r="E44" s="255">
        <f t="shared" si="5"/>
        <v>-25</v>
      </c>
      <c r="F44" s="26">
        <v>79</v>
      </c>
      <c r="G44" s="27">
        <v>3</v>
      </c>
      <c r="H44" s="250">
        <f t="shared" si="6"/>
        <v>-96.202531645569621</v>
      </c>
      <c r="I44" s="26">
        <f t="shared" si="12"/>
        <v>83</v>
      </c>
      <c r="J44" s="20">
        <f t="shared" si="8"/>
        <v>6</v>
      </c>
      <c r="K44" s="258">
        <f t="shared" si="13"/>
        <v>-92.771084337349393</v>
      </c>
      <c r="L44" s="9"/>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row>
    <row r="45" spans="1:256" ht="11.9" customHeight="1">
      <c r="A45" s="674" t="s">
        <v>26</v>
      </c>
      <c r="B45" s="28"/>
      <c r="C45" s="26">
        <v>9</v>
      </c>
      <c r="D45" s="41">
        <v>24</v>
      </c>
      <c r="E45" s="255">
        <f t="shared" si="5"/>
        <v>166.66666666666666</v>
      </c>
      <c r="F45" s="26">
        <v>4</v>
      </c>
      <c r="G45" s="27">
        <v>38</v>
      </c>
      <c r="H45" s="250" t="str">
        <f t="shared" si="6"/>
        <v>##</v>
      </c>
      <c r="I45" s="26">
        <f t="shared" si="12"/>
        <v>13</v>
      </c>
      <c r="J45" s="20">
        <f t="shared" si="8"/>
        <v>62</v>
      </c>
      <c r="K45" s="258">
        <f t="shared" si="13"/>
        <v>376.92307692307691</v>
      </c>
      <c r="L45" s="8"/>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row>
    <row r="46" spans="1:256" ht="11.9" customHeight="1">
      <c r="A46" s="674" t="s">
        <v>27</v>
      </c>
      <c r="B46" s="28"/>
      <c r="C46" s="666">
        <f>SUM(C47:C48)</f>
        <v>143</v>
      </c>
      <c r="D46" s="666">
        <f>SUM(D47:D48)</f>
        <v>110</v>
      </c>
      <c r="E46" s="667">
        <f t="shared" si="5"/>
        <v>-23.076923076923073</v>
      </c>
      <c r="F46" s="668">
        <f>SUM(F47:F48)</f>
        <v>952</v>
      </c>
      <c r="G46" s="649">
        <f>SUM(G47:G48)</f>
        <v>1242</v>
      </c>
      <c r="H46" s="669">
        <f t="shared" si="6"/>
        <v>30.462184873949582</v>
      </c>
      <c r="I46" s="668">
        <f t="shared" si="12"/>
        <v>1095</v>
      </c>
      <c r="J46" s="670">
        <f t="shared" si="8"/>
        <v>1352</v>
      </c>
      <c r="K46" s="671">
        <f t="shared" si="13"/>
        <v>23.470319634703209</v>
      </c>
      <c r="L46" s="8"/>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c r="IV46" s="2"/>
    </row>
    <row r="47" spans="1:256" ht="11.9" customHeight="1">
      <c r="A47" s="674" t="s">
        <v>28</v>
      </c>
      <c r="B47" s="28"/>
      <c r="C47" s="26">
        <v>18</v>
      </c>
      <c r="D47" s="41">
        <v>18</v>
      </c>
      <c r="E47" s="255" t="str">
        <f t="shared" si="5"/>
        <v>-</v>
      </c>
      <c r="F47" s="26">
        <v>91</v>
      </c>
      <c r="G47" s="27">
        <v>210</v>
      </c>
      <c r="H47" s="250">
        <f t="shared" si="6"/>
        <v>130.76923076923075</v>
      </c>
      <c r="I47" s="26">
        <f t="shared" si="12"/>
        <v>109</v>
      </c>
      <c r="J47" s="20">
        <f t="shared" si="8"/>
        <v>228</v>
      </c>
      <c r="K47" s="258">
        <f t="shared" si="13"/>
        <v>109.1743119266055</v>
      </c>
      <c r="L47" s="8"/>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c r="IV47" s="2"/>
    </row>
    <row r="48" spans="1:256" ht="11.9" customHeight="1">
      <c r="A48" s="674" t="s">
        <v>29</v>
      </c>
      <c r="B48" s="28"/>
      <c r="C48" s="26">
        <v>125</v>
      </c>
      <c r="D48" s="41">
        <v>92</v>
      </c>
      <c r="E48" s="255">
        <f t="shared" si="5"/>
        <v>-26.400000000000002</v>
      </c>
      <c r="F48" s="26">
        <v>861</v>
      </c>
      <c r="G48" s="27">
        <v>1032</v>
      </c>
      <c r="H48" s="250">
        <f t="shared" si="6"/>
        <v>19.860627177700341</v>
      </c>
      <c r="I48" s="26">
        <f t="shared" si="12"/>
        <v>986</v>
      </c>
      <c r="J48" s="20">
        <f t="shared" si="8"/>
        <v>1124</v>
      </c>
      <c r="K48" s="258">
        <f t="shared" si="13"/>
        <v>13.995943204868144</v>
      </c>
      <c r="L48" s="8"/>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c r="IV48" s="2"/>
    </row>
    <row r="49" spans="1:256" ht="11.9" customHeight="1">
      <c r="A49" s="674" t="s">
        <v>30</v>
      </c>
      <c r="B49" s="28"/>
      <c r="C49" s="26">
        <v>9</v>
      </c>
      <c r="D49" s="41">
        <v>5</v>
      </c>
      <c r="E49" s="255">
        <f t="shared" si="5"/>
        <v>-44.444444444444443</v>
      </c>
      <c r="F49" s="26">
        <v>1</v>
      </c>
      <c r="G49" s="27">
        <v>0</v>
      </c>
      <c r="H49" s="250">
        <f t="shared" si="6"/>
        <v>-100</v>
      </c>
      <c r="I49" s="26">
        <f t="shared" si="12"/>
        <v>10</v>
      </c>
      <c r="J49" s="20">
        <f t="shared" si="8"/>
        <v>5</v>
      </c>
      <c r="K49" s="258">
        <f t="shared" si="13"/>
        <v>-50</v>
      </c>
      <c r="L49" s="8"/>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row>
    <row r="50" spans="1:256" ht="11.9" customHeight="1">
      <c r="A50" s="674" t="s">
        <v>31</v>
      </c>
      <c r="B50" s="28"/>
      <c r="C50" s="26">
        <v>31</v>
      </c>
      <c r="D50" s="41">
        <v>43</v>
      </c>
      <c r="E50" s="255">
        <f t="shared" si="5"/>
        <v>38.709677419354847</v>
      </c>
      <c r="F50" s="26">
        <v>493</v>
      </c>
      <c r="G50" s="27">
        <v>666</v>
      </c>
      <c r="H50" s="250">
        <f t="shared" si="6"/>
        <v>35.091277890466529</v>
      </c>
      <c r="I50" s="26">
        <f t="shared" si="12"/>
        <v>524</v>
      </c>
      <c r="J50" s="20">
        <f t="shared" si="8"/>
        <v>709</v>
      </c>
      <c r="K50" s="258">
        <f t="shared" si="13"/>
        <v>35.305343511450381</v>
      </c>
      <c r="L50" s="8"/>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c r="IV50" s="2"/>
    </row>
    <row r="51" spans="1:256" ht="11.9" customHeight="1">
      <c r="A51" s="674" t="s">
        <v>184</v>
      </c>
      <c r="B51" s="28"/>
      <c r="C51" s="26">
        <v>7</v>
      </c>
      <c r="D51" s="41">
        <v>9</v>
      </c>
      <c r="E51" s="255">
        <f t="shared" si="5"/>
        <v>28.57142857142858</v>
      </c>
      <c r="F51" s="26">
        <v>2</v>
      </c>
      <c r="G51" s="27">
        <v>11</v>
      </c>
      <c r="H51" s="250">
        <f t="shared" si="6"/>
        <v>450</v>
      </c>
      <c r="I51" s="26">
        <f t="shared" si="12"/>
        <v>9</v>
      </c>
      <c r="J51" s="20">
        <f t="shared" si="8"/>
        <v>20</v>
      </c>
      <c r="K51" s="258">
        <f t="shared" si="13"/>
        <v>122.22222222222223</v>
      </c>
      <c r="L51" s="8"/>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c r="IV51" s="2"/>
    </row>
    <row r="52" spans="1:256" ht="11.9" customHeight="1">
      <c r="A52" s="674" t="s">
        <v>32</v>
      </c>
      <c r="B52" s="28"/>
      <c r="C52" s="26">
        <v>32</v>
      </c>
      <c r="D52" s="41">
        <v>49</v>
      </c>
      <c r="E52" s="255">
        <f t="shared" si="5"/>
        <v>53.125</v>
      </c>
      <c r="F52" s="26">
        <v>302</v>
      </c>
      <c r="G52" s="27">
        <v>51</v>
      </c>
      <c r="H52" s="250">
        <f t="shared" si="6"/>
        <v>-83.11258278145695</v>
      </c>
      <c r="I52" s="26">
        <f t="shared" si="12"/>
        <v>334</v>
      </c>
      <c r="J52" s="20">
        <f t="shared" si="8"/>
        <v>100</v>
      </c>
      <c r="K52" s="258">
        <f t="shared" si="13"/>
        <v>-70.059880239520965</v>
      </c>
      <c r="L52" s="8"/>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c r="IV52" s="2"/>
    </row>
    <row r="53" spans="1:256" ht="11.9" customHeight="1">
      <c r="A53" s="674" t="s">
        <v>33</v>
      </c>
      <c r="B53" s="28"/>
      <c r="C53" s="26">
        <v>7</v>
      </c>
      <c r="D53" s="41">
        <v>8</v>
      </c>
      <c r="E53" s="255">
        <f t="shared" si="5"/>
        <v>14.285714285714279</v>
      </c>
      <c r="F53" s="26">
        <v>60</v>
      </c>
      <c r="G53" s="27">
        <v>23</v>
      </c>
      <c r="H53" s="250">
        <f t="shared" si="6"/>
        <v>-61.666666666666671</v>
      </c>
      <c r="I53" s="26">
        <f t="shared" si="12"/>
        <v>67</v>
      </c>
      <c r="J53" s="20">
        <f t="shared" si="8"/>
        <v>31</v>
      </c>
      <c r="K53" s="258">
        <f t="shared" si="13"/>
        <v>-53.731343283582092</v>
      </c>
      <c r="L53" s="8"/>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c r="IV53" s="2"/>
    </row>
    <row r="54" spans="1:256" ht="11.9" customHeight="1">
      <c r="A54" s="674" t="s">
        <v>100</v>
      </c>
      <c r="B54" s="28"/>
      <c r="C54" s="26">
        <v>16</v>
      </c>
      <c r="D54" s="41">
        <v>12</v>
      </c>
      <c r="E54" s="255">
        <f t="shared" si="5"/>
        <v>-25</v>
      </c>
      <c r="F54" s="26">
        <v>189</v>
      </c>
      <c r="G54" s="27">
        <v>329</v>
      </c>
      <c r="H54" s="250">
        <f t="shared" si="6"/>
        <v>74.074074074074076</v>
      </c>
      <c r="I54" s="26">
        <f t="shared" si="12"/>
        <v>205</v>
      </c>
      <c r="J54" s="20">
        <f t="shared" si="8"/>
        <v>341</v>
      </c>
      <c r="K54" s="258">
        <f t="shared" si="13"/>
        <v>66.341463414634134</v>
      </c>
      <c r="L54" s="8"/>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c r="IV54" s="2"/>
    </row>
    <row r="55" spans="1:256" ht="11.9" customHeight="1">
      <c r="A55" s="674" t="s">
        <v>34</v>
      </c>
      <c r="B55" s="28"/>
      <c r="C55" s="41">
        <v>1</v>
      </c>
      <c r="D55" s="41">
        <v>1</v>
      </c>
      <c r="E55" s="255" t="str">
        <f t="shared" si="5"/>
        <v>-</v>
      </c>
      <c r="F55" s="26">
        <v>0</v>
      </c>
      <c r="G55" s="27">
        <v>6</v>
      </c>
      <c r="H55" s="250" t="str">
        <f t="shared" si="6"/>
        <v>##</v>
      </c>
      <c r="I55" s="26">
        <f t="shared" si="12"/>
        <v>1</v>
      </c>
      <c r="J55" s="20">
        <f t="shared" si="8"/>
        <v>7</v>
      </c>
      <c r="K55" s="258" t="str">
        <f t="shared" si="13"/>
        <v>##</v>
      </c>
      <c r="L55" s="8"/>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row>
    <row r="56" spans="1:256" ht="11.9" customHeight="1">
      <c r="A56" s="674" t="s">
        <v>101</v>
      </c>
      <c r="B56" s="28"/>
      <c r="C56" s="26">
        <v>20</v>
      </c>
      <c r="D56" s="41">
        <v>17</v>
      </c>
      <c r="E56" s="255">
        <f t="shared" si="5"/>
        <v>-15.000000000000002</v>
      </c>
      <c r="F56" s="26">
        <v>19</v>
      </c>
      <c r="G56" s="27">
        <v>25</v>
      </c>
      <c r="H56" s="250">
        <f t="shared" si="6"/>
        <v>31.578947368421062</v>
      </c>
      <c r="I56" s="26">
        <f t="shared" si="12"/>
        <v>39</v>
      </c>
      <c r="J56" s="20">
        <f t="shared" si="8"/>
        <v>42</v>
      </c>
      <c r="K56" s="258">
        <f t="shared" si="13"/>
        <v>7.6923076923076872</v>
      </c>
      <c r="L56" s="8"/>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row>
    <row r="57" spans="1:256" ht="11.9" customHeight="1">
      <c r="A57" s="674" t="s">
        <v>35</v>
      </c>
      <c r="B57" s="28"/>
      <c r="C57" s="26">
        <v>59</v>
      </c>
      <c r="D57" s="41">
        <v>70</v>
      </c>
      <c r="E57" s="255">
        <f t="shared" si="5"/>
        <v>18.644067796610166</v>
      </c>
      <c r="F57" s="26">
        <v>39</v>
      </c>
      <c r="G57" s="27">
        <v>194</v>
      </c>
      <c r="H57" s="250">
        <f t="shared" si="6"/>
        <v>397.43589743589746</v>
      </c>
      <c r="I57" s="26">
        <f t="shared" si="12"/>
        <v>98</v>
      </c>
      <c r="J57" s="20">
        <f t="shared" si="8"/>
        <v>264</v>
      </c>
      <c r="K57" s="258">
        <f t="shared" si="13"/>
        <v>169.38775510204081</v>
      </c>
      <c r="L57" s="8"/>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c r="IV57" s="2"/>
    </row>
    <row r="58" spans="1:256" ht="11.9" customHeight="1">
      <c r="A58" s="674" t="s">
        <v>36</v>
      </c>
      <c r="B58" s="28"/>
      <c r="C58" s="26">
        <v>12</v>
      </c>
      <c r="D58" s="41">
        <v>22</v>
      </c>
      <c r="E58" s="255">
        <f t="shared" si="5"/>
        <v>83.333333333333329</v>
      </c>
      <c r="F58" s="26">
        <v>69</v>
      </c>
      <c r="G58" s="27">
        <v>195</v>
      </c>
      <c r="H58" s="250">
        <f t="shared" si="6"/>
        <v>182.60869565217394</v>
      </c>
      <c r="I58" s="26">
        <f t="shared" si="12"/>
        <v>81</v>
      </c>
      <c r="J58" s="20">
        <f t="shared" si="8"/>
        <v>217</v>
      </c>
      <c r="K58" s="258">
        <f t="shared" si="13"/>
        <v>167.90123456790121</v>
      </c>
      <c r="L58" s="8"/>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row>
    <row r="59" spans="1:256" ht="11.9" customHeight="1">
      <c r="A59" s="24" t="s">
        <v>37</v>
      </c>
      <c r="B59" s="28"/>
      <c r="C59" s="32">
        <v>0</v>
      </c>
      <c r="D59" s="41">
        <v>4</v>
      </c>
      <c r="E59" s="255" t="str">
        <f t="shared" si="5"/>
        <v>##</v>
      </c>
      <c r="F59" s="26">
        <v>0</v>
      </c>
      <c r="G59" s="27">
        <v>16</v>
      </c>
      <c r="H59" s="250" t="str">
        <f t="shared" si="6"/>
        <v>##</v>
      </c>
      <c r="I59" s="26">
        <f t="shared" si="12"/>
        <v>0</v>
      </c>
      <c r="J59" s="20">
        <f t="shared" si="8"/>
        <v>20</v>
      </c>
      <c r="K59" s="259" t="str">
        <f t="shared" si="13"/>
        <v>##</v>
      </c>
      <c r="L59" s="8"/>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row>
    <row r="60" spans="1:256" ht="11.9" customHeight="1">
      <c r="A60" s="24" t="s">
        <v>38</v>
      </c>
      <c r="B60" s="28"/>
      <c r="C60" s="41">
        <v>167</v>
      </c>
      <c r="D60" s="41">
        <v>110</v>
      </c>
      <c r="E60" s="255">
        <f t="shared" si="5"/>
        <v>-34.131736526946113</v>
      </c>
      <c r="F60" s="26">
        <v>1312</v>
      </c>
      <c r="G60" s="27">
        <v>962</v>
      </c>
      <c r="H60" s="250">
        <f t="shared" si="6"/>
        <v>-26.676829268292678</v>
      </c>
      <c r="I60" s="26">
        <f t="shared" ref="I60:I65" si="14">C60+F60</f>
        <v>1479</v>
      </c>
      <c r="J60" s="20">
        <f t="shared" si="8"/>
        <v>1072</v>
      </c>
      <c r="K60" s="259">
        <f t="shared" ref="K60:K65" si="15">IF(I60=J60,"-",IF((I60=0),"##",IF(ABS((J60/I60-1)*100)&gt;=500,"##",(J60/I60-1)*100)))</f>
        <v>-27.518593644354294</v>
      </c>
      <c r="L60" s="8"/>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row>
    <row r="61" spans="1:256" ht="11.9" customHeight="1">
      <c r="A61" s="24" t="s">
        <v>39</v>
      </c>
      <c r="B61" s="28"/>
      <c r="C61" s="41">
        <v>3</v>
      </c>
      <c r="D61" s="41">
        <v>0</v>
      </c>
      <c r="E61" s="255">
        <f t="shared" si="5"/>
        <v>-100</v>
      </c>
      <c r="F61" s="26">
        <v>23</v>
      </c>
      <c r="G61" s="27">
        <v>8</v>
      </c>
      <c r="H61" s="250">
        <f t="shared" si="6"/>
        <v>-65.217391304347828</v>
      </c>
      <c r="I61" s="26">
        <f t="shared" si="14"/>
        <v>26</v>
      </c>
      <c r="J61" s="20">
        <f t="shared" si="8"/>
        <v>8</v>
      </c>
      <c r="K61" s="259">
        <f t="shared" si="15"/>
        <v>-69.230769230769226</v>
      </c>
      <c r="L61" s="8"/>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c r="IT61" s="2"/>
      <c r="IU61" s="2"/>
      <c r="IV61" s="2"/>
    </row>
    <row r="62" spans="1:256" ht="11.9" customHeight="1">
      <c r="A62" s="24" t="s">
        <v>40</v>
      </c>
      <c r="B62" s="28"/>
      <c r="C62" s="41">
        <v>127</v>
      </c>
      <c r="D62" s="41">
        <v>137</v>
      </c>
      <c r="E62" s="255">
        <f t="shared" si="5"/>
        <v>7.8740157480315043</v>
      </c>
      <c r="F62" s="26">
        <v>1277</v>
      </c>
      <c r="G62" s="27">
        <v>2104</v>
      </c>
      <c r="H62" s="250">
        <f t="shared" si="6"/>
        <v>64.761158966327329</v>
      </c>
      <c r="I62" s="26">
        <f t="shared" si="14"/>
        <v>1404</v>
      </c>
      <c r="J62" s="20">
        <f t="shared" si="8"/>
        <v>2241</v>
      </c>
      <c r="K62" s="259">
        <f t="shared" si="15"/>
        <v>59.615384615384627</v>
      </c>
      <c r="L62" s="8"/>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2"/>
      <c r="HS62" s="2"/>
      <c r="HT62" s="2"/>
      <c r="HU62" s="2"/>
      <c r="HV62" s="2"/>
      <c r="HW62" s="2"/>
      <c r="HX62" s="2"/>
      <c r="HY62" s="2"/>
      <c r="HZ62" s="2"/>
      <c r="IA62" s="2"/>
      <c r="IB62" s="2"/>
      <c r="IC62" s="2"/>
      <c r="ID62" s="2"/>
      <c r="IE62" s="2"/>
      <c r="IF62" s="2"/>
      <c r="IG62" s="2"/>
      <c r="IH62" s="2"/>
      <c r="II62" s="2"/>
      <c r="IJ62" s="2"/>
      <c r="IK62" s="2"/>
      <c r="IL62" s="2"/>
      <c r="IM62" s="2"/>
      <c r="IN62" s="2"/>
      <c r="IO62" s="2"/>
      <c r="IP62" s="2"/>
      <c r="IQ62" s="2"/>
      <c r="IR62" s="2"/>
      <c r="IS62" s="2"/>
      <c r="IT62" s="2"/>
      <c r="IU62" s="2"/>
      <c r="IV62" s="2"/>
    </row>
    <row r="63" spans="1:256" ht="11.9" customHeight="1">
      <c r="A63" s="24" t="s">
        <v>41</v>
      </c>
      <c r="B63" s="28"/>
      <c r="C63" s="41">
        <v>12</v>
      </c>
      <c r="D63" s="41">
        <v>14</v>
      </c>
      <c r="E63" s="255">
        <f t="shared" si="5"/>
        <v>16.666666666666675</v>
      </c>
      <c r="F63" s="26">
        <v>129</v>
      </c>
      <c r="G63" s="27">
        <v>139</v>
      </c>
      <c r="H63" s="250">
        <f t="shared" si="6"/>
        <v>7.7519379844961156</v>
      </c>
      <c r="I63" s="26">
        <f t="shared" si="14"/>
        <v>141</v>
      </c>
      <c r="J63" s="20">
        <f t="shared" si="8"/>
        <v>153</v>
      </c>
      <c r="K63" s="259">
        <f t="shared" si="15"/>
        <v>8.5106382978723296</v>
      </c>
      <c r="L63" s="8"/>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
      <c r="HS63" s="2"/>
      <c r="HT63" s="2"/>
      <c r="HU63" s="2"/>
      <c r="HV63" s="2"/>
      <c r="HW63" s="2"/>
      <c r="HX63" s="2"/>
      <c r="HY63" s="2"/>
      <c r="HZ63" s="2"/>
      <c r="IA63" s="2"/>
      <c r="IB63" s="2"/>
      <c r="IC63" s="2"/>
      <c r="ID63" s="2"/>
      <c r="IE63" s="2"/>
      <c r="IF63" s="2"/>
      <c r="IG63" s="2"/>
      <c r="IH63" s="2"/>
      <c r="II63" s="2"/>
      <c r="IJ63" s="2"/>
      <c r="IK63" s="2"/>
      <c r="IL63" s="2"/>
      <c r="IM63" s="2"/>
      <c r="IN63" s="2"/>
      <c r="IO63" s="2"/>
      <c r="IP63" s="2"/>
      <c r="IQ63" s="2"/>
      <c r="IR63" s="2"/>
      <c r="IS63" s="2"/>
      <c r="IT63" s="2"/>
      <c r="IU63" s="2"/>
      <c r="IV63" s="2"/>
    </row>
    <row r="64" spans="1:256" ht="11.9" customHeight="1">
      <c r="A64" s="24" t="s">
        <v>42</v>
      </c>
      <c r="B64" s="28"/>
      <c r="C64" s="41">
        <v>18</v>
      </c>
      <c r="D64" s="41">
        <v>5</v>
      </c>
      <c r="E64" s="255">
        <f t="shared" si="5"/>
        <v>-72.222222222222214</v>
      </c>
      <c r="F64" s="26">
        <v>33</v>
      </c>
      <c r="G64" s="27">
        <v>8</v>
      </c>
      <c r="H64" s="250">
        <f t="shared" si="6"/>
        <v>-75.757575757575751</v>
      </c>
      <c r="I64" s="26">
        <f t="shared" si="14"/>
        <v>51</v>
      </c>
      <c r="J64" s="20">
        <f t="shared" si="8"/>
        <v>13</v>
      </c>
      <c r="K64" s="259">
        <f t="shared" si="15"/>
        <v>-74.509803921568633</v>
      </c>
      <c r="L64" s="8"/>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c r="IV64" s="2"/>
    </row>
    <row r="65" spans="1:256" ht="11.9" customHeight="1">
      <c r="A65" s="30" t="s">
        <v>43</v>
      </c>
      <c r="B65" s="34"/>
      <c r="C65" s="41">
        <v>137</v>
      </c>
      <c r="D65" s="41">
        <v>126</v>
      </c>
      <c r="E65" s="255">
        <f t="shared" si="5"/>
        <v>-8.0291970802919721</v>
      </c>
      <c r="F65" s="26">
        <v>92</v>
      </c>
      <c r="G65" s="27">
        <v>478</v>
      </c>
      <c r="H65" s="250">
        <f t="shared" si="6"/>
        <v>419.56521739130437</v>
      </c>
      <c r="I65" s="26">
        <f t="shared" si="14"/>
        <v>229</v>
      </c>
      <c r="J65" s="20">
        <f t="shared" si="8"/>
        <v>604</v>
      </c>
      <c r="K65" s="259">
        <f t="shared" si="15"/>
        <v>163.75545851528383</v>
      </c>
      <c r="L65" s="8"/>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c r="IR65" s="2"/>
      <c r="IS65" s="2"/>
      <c r="IT65" s="2"/>
      <c r="IU65" s="2"/>
      <c r="IV65" s="2"/>
    </row>
    <row r="66" spans="1:256" ht="12" customHeight="1" thickBot="1">
      <c r="A66" s="17" t="s">
        <v>44</v>
      </c>
      <c r="B66" s="44"/>
      <c r="C66" s="45">
        <f>SUM(C23:C46,C49:C65)</f>
        <v>2097</v>
      </c>
      <c r="D66" s="45">
        <f>SUM(D23:D46,D49:D65)</f>
        <v>1848</v>
      </c>
      <c r="E66" s="256">
        <f t="shared" si="5"/>
        <v>-11.874105865522179</v>
      </c>
      <c r="F66" s="45">
        <f>SUM(F23:F46,F49:F65)</f>
        <v>10822</v>
      </c>
      <c r="G66" s="45">
        <f>SUM(G23:G46,G49:G65)</f>
        <v>11968</v>
      </c>
      <c r="H66" s="256">
        <f t="shared" si="6"/>
        <v>10.589539826279793</v>
      </c>
      <c r="I66" s="45">
        <f t="shared" si="7"/>
        <v>12919</v>
      </c>
      <c r="J66" s="45">
        <f t="shared" si="8"/>
        <v>13816</v>
      </c>
      <c r="K66" s="263">
        <f t="shared" si="9"/>
        <v>6.9432618623732401</v>
      </c>
      <c r="L66" s="8"/>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M66" s="2"/>
      <c r="GN66" s="2"/>
      <c r="GO66" s="2"/>
      <c r="GP66" s="2"/>
      <c r="GQ66" s="2"/>
      <c r="GR66" s="2"/>
      <c r="GS66" s="2"/>
      <c r="GT66" s="2"/>
      <c r="GU66" s="2"/>
      <c r="GV66" s="2"/>
      <c r="GW66" s="2"/>
      <c r="GX66" s="2"/>
      <c r="GY66" s="2"/>
      <c r="GZ66" s="2"/>
      <c r="HA66" s="2"/>
      <c r="HB66" s="2"/>
      <c r="HC66" s="2"/>
      <c r="HD66" s="2"/>
      <c r="HE66" s="2"/>
      <c r="HF66" s="2"/>
      <c r="HG66" s="2"/>
      <c r="HH66" s="2"/>
      <c r="HI66" s="2"/>
      <c r="HJ66" s="2"/>
      <c r="HK66" s="2"/>
      <c r="HL66" s="2"/>
      <c r="HM66" s="2"/>
      <c r="HN66" s="2"/>
      <c r="HO66" s="2"/>
      <c r="HP66" s="2"/>
      <c r="HQ66" s="2"/>
      <c r="HR66" s="2"/>
      <c r="HS66" s="2"/>
      <c r="HT66" s="2"/>
      <c r="HU66" s="2"/>
      <c r="HV66" s="2"/>
      <c r="HW66" s="2"/>
      <c r="HX66" s="2"/>
      <c r="HY66" s="2"/>
      <c r="HZ66" s="2"/>
      <c r="IA66" s="2"/>
      <c r="IB66" s="2"/>
      <c r="IC66" s="2"/>
      <c r="ID66" s="2"/>
      <c r="IE66" s="2"/>
      <c r="IF66" s="2"/>
      <c r="IG66" s="2"/>
      <c r="IH66" s="2"/>
      <c r="II66" s="2"/>
      <c r="IJ66" s="2"/>
      <c r="IK66" s="2"/>
      <c r="IL66" s="2"/>
      <c r="IM66" s="2"/>
      <c r="IN66" s="2"/>
      <c r="IO66" s="2"/>
      <c r="IP66" s="2"/>
      <c r="IQ66" s="2"/>
      <c r="IR66" s="2"/>
      <c r="IS66" s="2"/>
      <c r="IT66" s="2"/>
      <c r="IU66" s="2"/>
      <c r="IV66" s="2"/>
    </row>
    <row r="67" spans="1:256" ht="12" customHeight="1">
      <c r="A67" s="53" t="str">
        <f>Titles!$A$8</f>
        <v>1 Data for 2023, 2024 and 2025 based on 2021 Census Definitions.</v>
      </c>
      <c r="B67" s="296"/>
      <c r="C67" s="297"/>
      <c r="D67" s="297"/>
      <c r="E67" s="297"/>
      <c r="F67" s="53"/>
      <c r="G67" s="296"/>
      <c r="H67" s="296"/>
      <c r="I67" s="296"/>
      <c r="J67" s="296"/>
      <c r="K67" s="362"/>
      <c r="L67" s="8"/>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c r="IG67" s="2"/>
      <c r="IH67" s="2"/>
      <c r="II67" s="2"/>
      <c r="IJ67" s="2"/>
      <c r="IK67" s="2"/>
      <c r="IL67" s="2"/>
      <c r="IM67" s="2"/>
      <c r="IN67" s="2"/>
      <c r="IO67" s="2"/>
      <c r="IP67" s="2"/>
      <c r="IQ67" s="2"/>
      <c r="IR67" s="2"/>
      <c r="IS67" s="2"/>
      <c r="IT67" s="2"/>
      <c r="IU67" s="2"/>
      <c r="IV67" s="2"/>
    </row>
    <row r="68" spans="1:256" s="301" customFormat="1" ht="12" customHeight="1">
      <c r="A68" s="353" t="str">
        <f>Titles!$A$10</f>
        <v>Source: CMHC Starts and Completion Survey, Market Absorption Survey</v>
      </c>
      <c r="B68" s="302"/>
      <c r="C68" s="302"/>
      <c r="D68" s="302"/>
      <c r="E68" s="302"/>
      <c r="F68" s="353"/>
      <c r="G68" s="302"/>
      <c r="H68" s="302"/>
      <c r="I68" s="302"/>
      <c r="J68" s="302"/>
      <c r="K68" s="299"/>
      <c r="L68" s="300"/>
      <c r="M68" s="300"/>
      <c r="N68" s="300"/>
      <c r="O68" s="300"/>
      <c r="P68" s="300"/>
      <c r="Q68" s="300"/>
      <c r="R68" s="300"/>
      <c r="S68" s="300"/>
      <c r="T68" s="300"/>
      <c r="U68" s="300"/>
      <c r="V68" s="300"/>
      <c r="W68" s="300"/>
      <c r="X68" s="300"/>
      <c r="Y68" s="300"/>
      <c r="Z68" s="300"/>
      <c r="AA68" s="300"/>
      <c r="AB68" s="300"/>
      <c r="AC68" s="300"/>
      <c r="AD68" s="300"/>
      <c r="AE68" s="300"/>
      <c r="AF68" s="300"/>
      <c r="AG68" s="300"/>
      <c r="AH68" s="300"/>
      <c r="AI68" s="300"/>
      <c r="AJ68" s="300"/>
      <c r="AK68" s="300"/>
      <c r="AL68" s="300"/>
      <c r="AM68" s="300"/>
      <c r="AN68" s="300"/>
      <c r="AO68" s="300"/>
      <c r="AP68" s="300"/>
      <c r="AQ68" s="300"/>
      <c r="AR68" s="300"/>
      <c r="AS68" s="300"/>
      <c r="AT68" s="300"/>
      <c r="AU68" s="300"/>
      <c r="AV68" s="300"/>
      <c r="AW68" s="300"/>
      <c r="AX68" s="300"/>
      <c r="AY68" s="300"/>
      <c r="AZ68" s="300"/>
      <c r="BA68" s="300"/>
      <c r="BB68" s="300"/>
      <c r="BC68" s="300"/>
      <c r="BD68" s="300"/>
      <c r="BE68" s="300"/>
      <c r="BF68" s="300"/>
      <c r="BG68" s="300"/>
      <c r="BH68" s="300"/>
      <c r="BI68" s="300"/>
      <c r="BJ68" s="300"/>
      <c r="BK68" s="300"/>
      <c r="BL68" s="300"/>
      <c r="BM68" s="300"/>
      <c r="BN68" s="300"/>
      <c r="BO68" s="300"/>
      <c r="BP68" s="300"/>
      <c r="BQ68" s="300"/>
      <c r="BR68" s="300"/>
      <c r="BS68" s="300"/>
      <c r="BT68" s="300"/>
      <c r="BU68" s="300"/>
      <c r="BV68" s="300"/>
      <c r="BW68" s="300"/>
      <c r="BX68" s="300"/>
      <c r="BY68" s="300"/>
      <c r="BZ68" s="300"/>
      <c r="CA68" s="300"/>
      <c r="CB68" s="300"/>
      <c r="CC68" s="300"/>
      <c r="CD68" s="300"/>
      <c r="CE68" s="300"/>
      <c r="CF68" s="300"/>
      <c r="CG68" s="300"/>
      <c r="CH68" s="300"/>
      <c r="CI68" s="300"/>
      <c r="CJ68" s="300"/>
      <c r="CK68" s="300"/>
      <c r="CL68" s="300"/>
      <c r="CM68" s="300"/>
      <c r="CN68" s="300"/>
      <c r="CO68" s="300"/>
      <c r="CP68" s="300"/>
      <c r="CQ68" s="300"/>
      <c r="CR68" s="300"/>
      <c r="CS68" s="300"/>
      <c r="CT68" s="300"/>
      <c r="CU68" s="300"/>
      <c r="CV68" s="300"/>
      <c r="CW68" s="300"/>
      <c r="CX68" s="300"/>
      <c r="CY68" s="300"/>
      <c r="CZ68" s="300"/>
      <c r="DA68" s="300"/>
      <c r="DB68" s="300"/>
      <c r="DC68" s="300"/>
      <c r="DD68" s="300"/>
      <c r="DE68" s="300"/>
      <c r="DF68" s="300"/>
      <c r="DG68" s="300"/>
      <c r="DH68" s="300"/>
      <c r="DI68" s="300"/>
      <c r="DJ68" s="300"/>
      <c r="DK68" s="300"/>
      <c r="DL68" s="300"/>
      <c r="DM68" s="300"/>
      <c r="DN68" s="300"/>
      <c r="DO68" s="300"/>
      <c r="DP68" s="300"/>
      <c r="DQ68" s="300"/>
      <c r="DR68" s="300"/>
      <c r="DS68" s="300"/>
      <c r="DT68" s="300"/>
      <c r="DU68" s="300"/>
      <c r="DV68" s="300"/>
      <c r="DW68" s="300"/>
      <c r="DX68" s="300"/>
      <c r="DY68" s="300"/>
      <c r="DZ68" s="300"/>
      <c r="EA68" s="300"/>
      <c r="EB68" s="300"/>
      <c r="EC68" s="300"/>
      <c r="ED68" s="300"/>
      <c r="EE68" s="300"/>
      <c r="EF68" s="300"/>
      <c r="EG68" s="300"/>
      <c r="EH68" s="300"/>
      <c r="EI68" s="300"/>
      <c r="EJ68" s="300"/>
      <c r="EK68" s="300"/>
      <c r="EL68" s="300"/>
      <c r="EM68" s="300"/>
      <c r="EN68" s="300"/>
      <c r="EO68" s="300"/>
      <c r="EP68" s="300"/>
      <c r="EQ68" s="300"/>
      <c r="ER68" s="300"/>
      <c r="ES68" s="300"/>
      <c r="ET68" s="300"/>
      <c r="EU68" s="300"/>
      <c r="EV68" s="300"/>
      <c r="EW68" s="300"/>
      <c r="EX68" s="300"/>
      <c r="EY68" s="300"/>
      <c r="EZ68" s="300"/>
      <c r="FA68" s="300"/>
      <c r="FB68" s="300"/>
      <c r="FC68" s="300"/>
      <c r="FD68" s="300"/>
      <c r="FE68" s="300"/>
      <c r="FF68" s="300"/>
      <c r="FG68" s="300"/>
      <c r="FH68" s="300"/>
      <c r="FI68" s="300"/>
      <c r="FJ68" s="300"/>
      <c r="FK68" s="300"/>
      <c r="FL68" s="300"/>
      <c r="FM68" s="300"/>
      <c r="FN68" s="300"/>
      <c r="FO68" s="300"/>
      <c r="FP68" s="300"/>
      <c r="FQ68" s="300"/>
      <c r="FR68" s="300"/>
      <c r="FS68" s="300"/>
      <c r="FT68" s="300"/>
      <c r="FU68" s="300"/>
      <c r="FV68" s="300"/>
      <c r="FW68" s="300"/>
      <c r="FX68" s="300"/>
      <c r="FY68" s="300"/>
      <c r="FZ68" s="300"/>
      <c r="GA68" s="300"/>
      <c r="GB68" s="300"/>
      <c r="GC68" s="300"/>
      <c r="GD68" s="300"/>
      <c r="GE68" s="300"/>
      <c r="GF68" s="300"/>
      <c r="GG68" s="300"/>
      <c r="GH68" s="300"/>
      <c r="GI68" s="300"/>
      <c r="GJ68" s="300"/>
      <c r="GK68" s="300"/>
      <c r="GL68" s="300"/>
      <c r="GM68" s="300"/>
      <c r="GN68" s="300"/>
      <c r="GO68" s="300"/>
      <c r="GP68" s="300"/>
      <c r="GQ68" s="300"/>
      <c r="GR68" s="300"/>
      <c r="GS68" s="300"/>
      <c r="GT68" s="300"/>
      <c r="GU68" s="300"/>
      <c r="GV68" s="300"/>
      <c r="GW68" s="300"/>
      <c r="GX68" s="300"/>
      <c r="GY68" s="300"/>
      <c r="GZ68" s="300"/>
      <c r="HA68" s="300"/>
      <c r="HB68" s="300"/>
      <c r="HC68" s="300"/>
      <c r="HD68" s="300"/>
      <c r="HE68" s="300"/>
      <c r="HF68" s="300"/>
      <c r="HG68" s="300"/>
      <c r="HH68" s="300"/>
      <c r="HI68" s="300"/>
      <c r="HJ68" s="300"/>
      <c r="HK68" s="300"/>
      <c r="HL68" s="300"/>
      <c r="HM68" s="300"/>
      <c r="HN68" s="300"/>
      <c r="HO68" s="300"/>
      <c r="HP68" s="300"/>
      <c r="HQ68" s="300"/>
      <c r="HR68" s="300"/>
      <c r="HS68" s="300"/>
      <c r="HT68" s="300"/>
      <c r="HU68" s="300"/>
      <c r="HV68" s="300"/>
      <c r="HW68" s="300"/>
      <c r="HX68" s="300"/>
      <c r="HY68" s="300"/>
      <c r="HZ68" s="300"/>
      <c r="IA68" s="300"/>
      <c r="IB68" s="300"/>
      <c r="IC68" s="300"/>
      <c r="ID68" s="300"/>
      <c r="IE68" s="300"/>
      <c r="IF68" s="300"/>
      <c r="IG68" s="300"/>
      <c r="IH68" s="300"/>
      <c r="II68" s="300"/>
      <c r="IJ68" s="300"/>
      <c r="IK68" s="300"/>
      <c r="IL68" s="300"/>
      <c r="IM68" s="300"/>
      <c r="IN68" s="300"/>
      <c r="IO68" s="300"/>
      <c r="IP68" s="300"/>
      <c r="IQ68" s="300"/>
      <c r="IR68" s="300"/>
      <c r="IS68" s="300"/>
      <c r="IT68" s="300"/>
      <c r="IU68" s="300"/>
      <c r="IV68" s="300"/>
    </row>
    <row r="69" spans="1:256" s="301" customFormat="1" ht="12" customHeight="1">
      <c r="A69" s="53"/>
      <c r="F69" s="53"/>
      <c r="K69" s="300"/>
      <c r="L69" s="300"/>
      <c r="M69" s="300"/>
      <c r="N69" s="300"/>
      <c r="O69" s="300"/>
      <c r="P69" s="300"/>
      <c r="Q69" s="300"/>
      <c r="R69" s="300"/>
      <c r="S69" s="300"/>
      <c r="T69" s="300"/>
      <c r="U69" s="300"/>
      <c r="V69" s="300"/>
      <c r="W69" s="300"/>
      <c r="X69" s="300"/>
      <c r="Y69" s="300"/>
      <c r="Z69" s="300"/>
      <c r="AA69" s="300"/>
      <c r="AB69" s="300"/>
      <c r="AC69" s="300"/>
      <c r="AD69" s="300"/>
      <c r="AE69" s="300"/>
      <c r="AF69" s="300"/>
      <c r="AG69" s="300"/>
      <c r="AH69" s="300"/>
      <c r="AI69" s="300"/>
      <c r="AJ69" s="300"/>
      <c r="AK69" s="300"/>
      <c r="AL69" s="300"/>
      <c r="AM69" s="300"/>
      <c r="AN69" s="300"/>
      <c r="AO69" s="300"/>
      <c r="AP69" s="300"/>
      <c r="AQ69" s="300"/>
      <c r="AR69" s="300"/>
      <c r="AS69" s="300"/>
      <c r="AT69" s="300"/>
      <c r="AU69" s="300"/>
      <c r="AV69" s="300"/>
      <c r="AW69" s="300"/>
      <c r="AX69" s="300"/>
      <c r="AY69" s="300"/>
      <c r="AZ69" s="300"/>
      <c r="BA69" s="300"/>
      <c r="BB69" s="300"/>
      <c r="BC69" s="300"/>
      <c r="BD69" s="300"/>
      <c r="BE69" s="300"/>
      <c r="BF69" s="300"/>
      <c r="BG69" s="300"/>
      <c r="BH69" s="300"/>
      <c r="BI69" s="300"/>
      <c r="BJ69" s="300"/>
      <c r="BK69" s="300"/>
      <c r="BL69" s="300"/>
      <c r="BM69" s="300"/>
      <c r="BN69" s="300"/>
      <c r="BO69" s="300"/>
      <c r="BP69" s="300"/>
      <c r="BQ69" s="300"/>
      <c r="BR69" s="300"/>
      <c r="BS69" s="300"/>
      <c r="BT69" s="300"/>
      <c r="BU69" s="300"/>
      <c r="BV69" s="300"/>
      <c r="BW69" s="300"/>
      <c r="BX69" s="300"/>
      <c r="BY69" s="300"/>
      <c r="BZ69" s="300"/>
      <c r="CA69" s="300"/>
      <c r="CB69" s="300"/>
      <c r="CC69" s="300"/>
      <c r="CD69" s="300"/>
      <c r="CE69" s="300"/>
      <c r="CF69" s="300"/>
      <c r="CG69" s="300"/>
      <c r="CH69" s="300"/>
      <c r="CI69" s="300"/>
      <c r="CJ69" s="300"/>
      <c r="CK69" s="300"/>
      <c r="CL69" s="300"/>
      <c r="CM69" s="300"/>
      <c r="CN69" s="300"/>
      <c r="CO69" s="300"/>
      <c r="CP69" s="300"/>
      <c r="CQ69" s="300"/>
      <c r="CR69" s="300"/>
      <c r="CS69" s="300"/>
      <c r="CT69" s="300"/>
      <c r="CU69" s="300"/>
      <c r="CV69" s="300"/>
      <c r="CW69" s="300"/>
      <c r="CX69" s="300"/>
      <c r="CY69" s="300"/>
      <c r="CZ69" s="300"/>
      <c r="DA69" s="300"/>
      <c r="DB69" s="300"/>
      <c r="DC69" s="300"/>
      <c r="DD69" s="300"/>
      <c r="DE69" s="300"/>
      <c r="DF69" s="300"/>
      <c r="DG69" s="300"/>
      <c r="DH69" s="300"/>
      <c r="DI69" s="300"/>
      <c r="DJ69" s="300"/>
      <c r="DK69" s="300"/>
      <c r="DL69" s="300"/>
      <c r="DM69" s="300"/>
      <c r="DN69" s="300"/>
      <c r="DO69" s="300"/>
      <c r="DP69" s="300"/>
      <c r="DQ69" s="300"/>
      <c r="DR69" s="300"/>
      <c r="DS69" s="300"/>
      <c r="DT69" s="300"/>
      <c r="DU69" s="300"/>
      <c r="DV69" s="300"/>
      <c r="DW69" s="300"/>
      <c r="DX69" s="300"/>
      <c r="DY69" s="300"/>
      <c r="DZ69" s="300"/>
      <c r="EA69" s="300"/>
      <c r="EB69" s="300"/>
      <c r="EC69" s="300"/>
      <c r="ED69" s="300"/>
      <c r="EE69" s="300"/>
      <c r="EF69" s="300"/>
      <c r="EG69" s="300"/>
      <c r="EH69" s="300"/>
      <c r="EI69" s="300"/>
      <c r="EJ69" s="300"/>
      <c r="EK69" s="300"/>
      <c r="EL69" s="300"/>
      <c r="EM69" s="300"/>
      <c r="EN69" s="300"/>
      <c r="EO69" s="300"/>
      <c r="EP69" s="300"/>
      <c r="EQ69" s="300"/>
      <c r="ER69" s="300"/>
      <c r="ES69" s="300"/>
      <c r="ET69" s="300"/>
      <c r="EU69" s="300"/>
      <c r="EV69" s="300"/>
      <c r="EW69" s="300"/>
      <c r="EX69" s="300"/>
      <c r="EY69" s="300"/>
      <c r="EZ69" s="300"/>
      <c r="FA69" s="300"/>
      <c r="FB69" s="300"/>
      <c r="FC69" s="300"/>
      <c r="FD69" s="300"/>
      <c r="FE69" s="300"/>
      <c r="FF69" s="300"/>
      <c r="FG69" s="300"/>
      <c r="FH69" s="300"/>
      <c r="FI69" s="300"/>
      <c r="FJ69" s="300"/>
      <c r="FK69" s="300"/>
      <c r="FL69" s="300"/>
      <c r="FM69" s="300"/>
      <c r="FN69" s="300"/>
      <c r="FO69" s="300"/>
      <c r="FP69" s="300"/>
      <c r="FQ69" s="300"/>
      <c r="FR69" s="300"/>
      <c r="FS69" s="300"/>
      <c r="FT69" s="300"/>
      <c r="FU69" s="300"/>
      <c r="FV69" s="300"/>
      <c r="FW69" s="300"/>
      <c r="FX69" s="300"/>
      <c r="FY69" s="300"/>
      <c r="FZ69" s="300"/>
      <c r="GA69" s="300"/>
      <c r="GB69" s="300"/>
      <c r="GC69" s="300"/>
      <c r="GD69" s="300"/>
      <c r="GE69" s="300"/>
      <c r="GF69" s="300"/>
      <c r="GG69" s="300"/>
      <c r="GH69" s="300"/>
      <c r="GI69" s="300"/>
      <c r="GJ69" s="300"/>
      <c r="GK69" s="300"/>
      <c r="GL69" s="300"/>
      <c r="GM69" s="300"/>
      <c r="GN69" s="300"/>
      <c r="GO69" s="300"/>
      <c r="GP69" s="300"/>
      <c r="GQ69" s="300"/>
      <c r="GR69" s="300"/>
      <c r="GS69" s="300"/>
      <c r="GT69" s="300"/>
      <c r="GU69" s="300"/>
      <c r="GV69" s="300"/>
      <c r="GW69" s="300"/>
      <c r="GX69" s="300"/>
      <c r="GY69" s="300"/>
      <c r="GZ69" s="300"/>
      <c r="HA69" s="300"/>
      <c r="HB69" s="300"/>
      <c r="HC69" s="300"/>
      <c r="HD69" s="300"/>
      <c r="HE69" s="300"/>
      <c r="HF69" s="300"/>
      <c r="HG69" s="300"/>
      <c r="HH69" s="300"/>
      <c r="HI69" s="300"/>
      <c r="HJ69" s="300"/>
      <c r="HK69" s="300"/>
      <c r="HL69" s="300"/>
      <c r="HM69" s="300"/>
      <c r="HN69" s="300"/>
      <c r="HO69" s="300"/>
      <c r="HP69" s="300"/>
      <c r="HQ69" s="300"/>
      <c r="HR69" s="300"/>
      <c r="HS69" s="300"/>
      <c r="HT69" s="300"/>
      <c r="HU69" s="300"/>
      <c r="HV69" s="300"/>
      <c r="HW69" s="300"/>
      <c r="HX69" s="300"/>
      <c r="HY69" s="300"/>
      <c r="HZ69" s="300"/>
      <c r="IA69" s="300"/>
      <c r="IB69" s="300"/>
      <c r="IC69" s="300"/>
      <c r="ID69" s="300"/>
      <c r="IE69" s="300"/>
      <c r="IF69" s="300"/>
      <c r="IG69" s="300"/>
      <c r="IH69" s="300"/>
      <c r="II69" s="300"/>
      <c r="IJ69" s="300"/>
      <c r="IK69" s="300"/>
      <c r="IL69" s="300"/>
      <c r="IM69" s="300"/>
      <c r="IN69" s="300"/>
      <c r="IO69" s="300"/>
      <c r="IP69" s="300"/>
      <c r="IQ69" s="300"/>
      <c r="IR69" s="300"/>
      <c r="IS69" s="300"/>
      <c r="IT69" s="300"/>
      <c r="IU69" s="300"/>
      <c r="IV69" s="300"/>
    </row>
    <row r="70" spans="1:256" s="2" customFormat="1"/>
    <row r="71" spans="1:256" s="2" customFormat="1"/>
    <row r="72" spans="1:256" s="2" customFormat="1"/>
    <row r="73" spans="1:256" s="2" customFormat="1"/>
    <row r="74" spans="1:256" s="2" customFormat="1"/>
    <row r="75" spans="1:256">
      <c r="A75" s="5" t="s">
        <v>45</v>
      </c>
      <c r="B75" s="5"/>
      <c r="C75" s="5"/>
      <c r="D75" s="6">
        <f>SUM(D66-D24-D26-D33-D37-D42-D49)</f>
        <v>1791</v>
      </c>
      <c r="E75" s="5"/>
      <c r="F75" s="5"/>
      <c r="G75" s="6">
        <f>SUM(G66-G24-G26-G33-G37-G42-G49)</f>
        <v>11510</v>
      </c>
      <c r="H75" s="5"/>
      <c r="I75" s="5"/>
      <c r="J75" s="6">
        <f>SUM(J66-J24-J26-J30-J33-J38-J43)</f>
        <v>11223</v>
      </c>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c r="HS75" s="5"/>
      <c r="HT75" s="5"/>
      <c r="HU75" s="5"/>
      <c r="HV75" s="5"/>
      <c r="HW75" s="5"/>
      <c r="HX75" s="5"/>
      <c r="HY75" s="5"/>
      <c r="HZ75" s="5"/>
      <c r="IA75" s="5"/>
      <c r="IB75" s="5"/>
      <c r="IC75" s="5"/>
      <c r="ID75" s="5"/>
      <c r="IE75" s="5"/>
      <c r="IF75" s="5"/>
      <c r="IG75" s="5"/>
      <c r="IH75" s="5"/>
      <c r="II75" s="5"/>
      <c r="IJ75" s="5"/>
      <c r="IK75" s="5"/>
      <c r="IL75" s="5"/>
      <c r="IM75" s="5"/>
      <c r="IN75" s="5"/>
      <c r="IO75" s="5"/>
      <c r="IP75" s="5"/>
      <c r="IQ75" s="5"/>
      <c r="IR75" s="5"/>
      <c r="IS75" s="5"/>
      <c r="IT75" s="5"/>
      <c r="IU75" s="5"/>
      <c r="IV75" s="5"/>
    </row>
    <row r="76" spans="1:256" s="2" customFormat="1"/>
    <row r="77" spans="1:256" s="2" customFormat="1"/>
    <row r="78" spans="1:256">
      <c r="A78" s="3"/>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2"/>
      <c r="HN78" s="2"/>
      <c r="HO78" s="2"/>
      <c r="HP78" s="2"/>
      <c r="HQ78" s="2"/>
      <c r="HR78" s="2"/>
      <c r="HS78" s="2"/>
      <c r="HT78" s="2"/>
      <c r="HU78" s="2"/>
      <c r="HV78" s="2"/>
      <c r="HW78" s="2"/>
      <c r="HX78" s="2"/>
      <c r="HY78" s="2"/>
      <c r="HZ78" s="2"/>
      <c r="IA78" s="2"/>
      <c r="IB78" s="2"/>
      <c r="IC78" s="2"/>
      <c r="ID78" s="2"/>
      <c r="IE78" s="2"/>
      <c r="IF78" s="2"/>
      <c r="IG78" s="2"/>
      <c r="IH78" s="2"/>
      <c r="II78" s="2"/>
      <c r="IJ78" s="2"/>
      <c r="IK78" s="2"/>
      <c r="IL78" s="2"/>
      <c r="IM78" s="2"/>
      <c r="IN78" s="2"/>
      <c r="IO78" s="2"/>
      <c r="IP78" s="2"/>
      <c r="IQ78" s="2"/>
      <c r="IR78" s="2"/>
      <c r="IS78" s="2"/>
      <c r="IT78" s="2"/>
      <c r="IU78" s="2"/>
      <c r="IV78" s="2"/>
    </row>
    <row r="79" spans="1:256">
      <c r="A79" s="3"/>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c r="HE79" s="2"/>
      <c r="HF79" s="2"/>
      <c r="HG79" s="2"/>
      <c r="HH79" s="2"/>
      <c r="HI79" s="2"/>
      <c r="HJ79" s="2"/>
      <c r="HK79" s="2"/>
      <c r="HL79" s="2"/>
      <c r="HM79" s="2"/>
      <c r="HN79" s="2"/>
      <c r="HO79" s="2"/>
      <c r="HP79" s="2"/>
      <c r="HQ79" s="2"/>
      <c r="HR79" s="2"/>
      <c r="HS79" s="2"/>
      <c r="HT79" s="2"/>
      <c r="HU79" s="2"/>
      <c r="HV79" s="2"/>
      <c r="HW79" s="2"/>
      <c r="HX79" s="2"/>
      <c r="HY79" s="2"/>
      <c r="HZ79" s="2"/>
      <c r="IA79" s="2"/>
      <c r="IB79" s="2"/>
      <c r="IC79" s="2"/>
      <c r="ID79" s="2"/>
      <c r="IE79" s="2"/>
      <c r="IF79" s="2"/>
      <c r="IG79" s="2"/>
      <c r="IH79" s="2"/>
      <c r="II79" s="2"/>
      <c r="IJ79" s="2"/>
      <c r="IK79" s="2"/>
      <c r="IL79" s="2"/>
      <c r="IM79" s="2"/>
      <c r="IN79" s="2"/>
      <c r="IO79" s="2"/>
      <c r="IP79" s="2"/>
      <c r="IQ79" s="2"/>
      <c r="IR79" s="2"/>
      <c r="IS79" s="2"/>
      <c r="IT79" s="2"/>
      <c r="IU79" s="2"/>
      <c r="IV79" s="2"/>
    </row>
    <row r="80" spans="1:256">
      <c r="A80" s="4"/>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c r="IV80" s="2"/>
    </row>
    <row r="81" s="2" customFormat="1"/>
    <row r="82" s="2" customFormat="1"/>
    <row r="83" s="2" customFormat="1"/>
    <row r="84" s="2" customFormat="1"/>
    <row r="85" s="2" customFormat="1"/>
    <row r="86" s="2" customFormat="1"/>
    <row r="87" s="2" customFormat="1"/>
    <row r="88" s="2" customFormat="1"/>
    <row r="89" s="2" customFormat="1"/>
    <row r="90" s="2" customFormat="1"/>
    <row r="91" s="2" customFormat="1"/>
    <row r="92" s="2" customFormat="1"/>
    <row r="93" s="2" customFormat="1"/>
    <row r="94" s="2" customFormat="1"/>
    <row r="95" s="2" customFormat="1"/>
    <row r="96" s="2" customFormat="1"/>
    <row r="97" s="2" customFormat="1"/>
    <row r="98" s="2" customFormat="1"/>
    <row r="99" s="2" customFormat="1"/>
    <row r="100" s="2" customFormat="1"/>
    <row r="101" s="2" customFormat="1"/>
    <row r="102" s="2" customFormat="1"/>
    <row r="103" s="2" customFormat="1"/>
    <row r="104" s="2" customFormat="1"/>
    <row r="105" s="2" customFormat="1"/>
    <row r="106" s="2" customFormat="1"/>
    <row r="107" s="2" customFormat="1"/>
    <row r="108" s="2" customFormat="1"/>
    <row r="109" s="2" customFormat="1"/>
    <row r="110" s="2" customFormat="1"/>
    <row r="111" s="2" customFormat="1"/>
    <row r="112" s="2" customFormat="1"/>
    <row r="113" s="2" customFormat="1"/>
    <row r="114" s="2" customFormat="1"/>
    <row r="115" s="2" customFormat="1"/>
    <row r="116" s="2" customFormat="1"/>
    <row r="117" s="2" customFormat="1"/>
    <row r="118" s="2" customFormat="1"/>
    <row r="119" s="2" customFormat="1"/>
    <row r="120" s="2" customFormat="1"/>
    <row r="121" s="2" customFormat="1"/>
    <row r="122" s="2" customFormat="1"/>
    <row r="123" s="2" customFormat="1"/>
    <row r="124" s="2" customFormat="1"/>
    <row r="125" s="2" customFormat="1"/>
  </sheetData>
  <mergeCells count="3">
    <mergeCell ref="C5:E6"/>
    <mergeCell ref="I5:K6"/>
    <mergeCell ref="F5:H6"/>
  </mergeCells>
  <phoneticPr fontId="0" type="noConversion"/>
  <pageMargins left="0.78740157480314965" right="0.51181102362204722" top="0.51181102362204722" bottom="0.51181102362204722" header="0" footer="0"/>
  <pageSetup scale="95"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C20:D22 F20:G22 H8:K22 E21:E22 F18:G18 C18:D18 F12:G12 D12 E17 H66:K66 G66 D66 E23 A68:D68 B69:D69 A2:K2 A4:K4 A3 C12 E25 E24 K24 K26:K27 K25 I25 I24 I26:I27 E8 E9 E10 E11 E19 H23:K23 E13 E14 E15 E16" unlockedFormula="1"/>
    <ignoredError sqref="E20 E18 E12 E66" formula="1"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69"/>
  <sheetViews>
    <sheetView showGridLines="0" zoomScale="115" zoomScaleNormal="115" zoomScaleSheetLayoutView="50" workbookViewId="0">
      <pane xSplit="2" ySplit="7" topLeftCell="C8" activePane="bottomRight" state="frozen"/>
      <selection pane="topRight"/>
      <selection pane="bottomLeft"/>
      <selection pane="bottomRight"/>
    </sheetView>
  </sheetViews>
  <sheetFormatPr defaultColWidth="11.53515625" defaultRowHeight="15.5"/>
  <cols>
    <col min="1" max="4" width="7.765625" style="10" customWidth="1"/>
    <col min="5" max="5" width="4.765625" style="10" customWidth="1"/>
    <col min="6" max="6" width="7.765625" style="10" customWidth="1"/>
    <col min="7" max="7" width="7.765625" style="658" customWidth="1"/>
    <col min="8" max="8" width="4.765625" style="10" customWidth="1"/>
    <col min="9" max="10" width="7.765625" style="10" customWidth="1"/>
    <col min="11" max="11" width="4.765625" style="10" customWidth="1"/>
    <col min="12" max="16384" width="11.53515625" style="10"/>
  </cols>
  <sheetData>
    <row r="1" spans="1:12" s="73" customFormat="1" ht="16.149999999999999" customHeight="1">
      <c r="A1" s="397" t="s">
        <v>122</v>
      </c>
      <c r="B1" s="398"/>
      <c r="C1" s="398"/>
      <c r="D1" s="398"/>
      <c r="E1" s="398"/>
      <c r="F1" s="398"/>
      <c r="G1" s="398"/>
      <c r="H1" s="398"/>
      <c r="I1" s="398"/>
      <c r="J1" s="398"/>
      <c r="K1" s="399"/>
      <c r="L1" s="76"/>
    </row>
    <row r="2" spans="1:12" s="73" customFormat="1" ht="16.149999999999999" customHeight="1">
      <c r="A2" s="400" t="str">
        <f>Titles!A2</f>
        <v>Housing Start Data in Centres 10,000 Population and Over</v>
      </c>
      <c r="B2" s="401"/>
      <c r="C2" s="401"/>
      <c r="D2" s="401"/>
      <c r="E2" s="401"/>
      <c r="F2" s="401"/>
      <c r="G2" s="401"/>
      <c r="H2" s="401"/>
      <c r="I2" s="401"/>
      <c r="J2" s="401"/>
      <c r="K2" s="402"/>
      <c r="L2" s="76"/>
    </row>
    <row r="3" spans="1:12" s="73" customFormat="1" ht="16.149999999999999" customHeight="1">
      <c r="A3" s="448"/>
      <c r="B3" s="449"/>
      <c r="C3" s="449"/>
      <c r="D3" s="449"/>
      <c r="E3" s="449"/>
      <c r="F3" s="449"/>
      <c r="G3" s="449"/>
      <c r="H3" s="449"/>
      <c r="I3" s="449"/>
      <c r="J3" s="449"/>
      <c r="K3" s="450"/>
      <c r="L3" s="76"/>
    </row>
    <row r="4" spans="1:12" s="73" customFormat="1" ht="16.149999999999999" customHeight="1" thickBot="1">
      <c r="A4" s="403" t="str">
        <f>Titles!A5</f>
        <v>January - February 2025 - 2026</v>
      </c>
      <c r="B4" s="404"/>
      <c r="C4" s="404"/>
      <c r="D4" s="404"/>
      <c r="E4" s="404"/>
      <c r="F4" s="404"/>
      <c r="G4" s="404"/>
      <c r="H4" s="404"/>
      <c r="I4" s="404"/>
      <c r="J4" s="404"/>
      <c r="K4" s="405"/>
      <c r="L4" s="76"/>
    </row>
    <row r="5" spans="1:12" ht="11.15" customHeight="1">
      <c r="A5" s="48" t="s">
        <v>249</v>
      </c>
      <c r="B5" s="55"/>
      <c r="C5" s="440" t="s">
        <v>48</v>
      </c>
      <c r="D5" s="441"/>
      <c r="E5" s="442"/>
      <c r="F5" s="440" t="s">
        <v>47</v>
      </c>
      <c r="G5" s="646"/>
      <c r="H5" s="442"/>
      <c r="I5" s="497" t="s">
        <v>44</v>
      </c>
      <c r="J5" s="498"/>
      <c r="K5" s="499"/>
      <c r="L5" s="11"/>
    </row>
    <row r="6" spans="1:12" ht="11.15" customHeight="1">
      <c r="A6" s="49" t="s">
        <v>0</v>
      </c>
      <c r="B6" s="56"/>
      <c r="C6" s="440"/>
      <c r="D6" s="441"/>
      <c r="E6" s="442"/>
      <c r="F6" s="440"/>
      <c r="G6" s="646"/>
      <c r="H6" s="442"/>
      <c r="I6" s="451"/>
      <c r="J6" s="452"/>
      <c r="K6" s="453"/>
      <c r="L6" s="11"/>
    </row>
    <row r="7" spans="1:12" ht="12" customHeight="1">
      <c r="B7" s="57"/>
      <c r="C7" s="14">
        <f>Titles!A22</f>
        <v>2025</v>
      </c>
      <c r="D7" s="14">
        <f>Titles!A23</f>
        <v>2026</v>
      </c>
      <c r="E7" s="58" t="s">
        <v>46</v>
      </c>
      <c r="F7" s="14">
        <f>Titles!A22</f>
        <v>2025</v>
      </c>
      <c r="G7" s="647">
        <f>Titles!A23</f>
        <v>2026</v>
      </c>
      <c r="H7" s="15" t="s">
        <v>46</v>
      </c>
      <c r="I7" s="14">
        <f>Titles!A22</f>
        <v>2025</v>
      </c>
      <c r="J7" s="14">
        <f>Titles!A23</f>
        <v>2026</v>
      </c>
      <c r="K7" s="16" t="s">
        <v>46</v>
      </c>
      <c r="L7" s="11"/>
    </row>
    <row r="8" spans="1:12" ht="11.9" customHeight="1">
      <c r="A8" s="18" t="s">
        <v>178</v>
      </c>
      <c r="B8" s="19"/>
      <c r="C8" s="20">
        <v>51</v>
      </c>
      <c r="D8" s="20">
        <v>60</v>
      </c>
      <c r="E8" s="40">
        <f>IF(C8=D8,"-",IF((C8=0),"##",IF(ABS((D8/C8-1)*100)&gt;=500,"##",(D8/C8-1)*100)))</f>
        <v>17.647058823529417</v>
      </c>
      <c r="F8" s="20">
        <v>41</v>
      </c>
      <c r="G8" s="648">
        <v>52</v>
      </c>
      <c r="H8" s="40">
        <f t="shared" ref="H8:H19" si="0">IF(F8=G8,"-",IF((F8=0),"##",IF(ABS((G8/F8-1)*100)&gt;=500,"##",(G8/F8-1)*100)))</f>
        <v>26.829268292682929</v>
      </c>
      <c r="I8" s="20">
        <f>C8+F8</f>
        <v>92</v>
      </c>
      <c r="J8" s="22">
        <f>D8+G8</f>
        <v>112</v>
      </c>
      <c r="K8" s="23">
        <f t="shared" ref="K8:K19" si="1">IF(I8=J8,"-",IF((I8=0),"##",IF(ABS((J8/I8-1)*100)&gt;=500,"##",(J8/I8-1)*100)))</f>
        <v>21.739130434782616</v>
      </c>
      <c r="L8" s="11"/>
    </row>
    <row r="9" spans="1:12" ht="11.9" customHeight="1">
      <c r="A9" s="24" t="s">
        <v>1</v>
      </c>
      <c r="B9" s="25"/>
      <c r="C9" s="26">
        <v>28</v>
      </c>
      <c r="D9" s="26">
        <v>26</v>
      </c>
      <c r="E9" s="41">
        <f t="shared" ref="E9:E19" si="2">IF(C9=D9,"-",IF((C9=0),"##",IF(ABS((D9/C9-1)*100)&gt;=500,"##",(D9/C9-1)*100)))</f>
        <v>-7.1428571428571397</v>
      </c>
      <c r="F9" s="26">
        <v>238</v>
      </c>
      <c r="G9" s="649">
        <v>179</v>
      </c>
      <c r="H9" s="41">
        <f t="shared" si="0"/>
        <v>-24.789915966386555</v>
      </c>
      <c r="I9" s="75">
        <f t="shared" ref="I9:I20" si="3">C9+F9</f>
        <v>266</v>
      </c>
      <c r="J9" s="26">
        <f t="shared" ref="J9:J20" si="4">D9+G9</f>
        <v>205</v>
      </c>
      <c r="K9" s="29">
        <f t="shared" si="1"/>
        <v>-22.93233082706767</v>
      </c>
      <c r="L9" s="11"/>
    </row>
    <row r="10" spans="1:12" ht="11.9" customHeight="1">
      <c r="A10" s="24" t="s">
        <v>2</v>
      </c>
      <c r="B10" s="25"/>
      <c r="C10" s="26">
        <v>133</v>
      </c>
      <c r="D10" s="26">
        <v>140</v>
      </c>
      <c r="E10" s="41">
        <f t="shared" si="2"/>
        <v>5.2631578947368363</v>
      </c>
      <c r="F10" s="26">
        <v>919</v>
      </c>
      <c r="G10" s="649">
        <v>689</v>
      </c>
      <c r="H10" s="41">
        <f t="shared" si="0"/>
        <v>-25.027203482045699</v>
      </c>
      <c r="I10" s="75">
        <f t="shared" si="3"/>
        <v>1052</v>
      </c>
      <c r="J10" s="26">
        <f t="shared" si="4"/>
        <v>829</v>
      </c>
      <c r="K10" s="29">
        <f t="shared" si="1"/>
        <v>-21.197718631178709</v>
      </c>
      <c r="L10" s="11"/>
    </row>
    <row r="11" spans="1:12" ht="11.9" customHeight="1">
      <c r="A11" s="24" t="s">
        <v>3</v>
      </c>
      <c r="B11" s="25"/>
      <c r="C11" s="26">
        <v>53</v>
      </c>
      <c r="D11" s="26">
        <v>56</v>
      </c>
      <c r="E11" s="41">
        <f t="shared" si="2"/>
        <v>5.6603773584905648</v>
      </c>
      <c r="F11" s="26">
        <v>314</v>
      </c>
      <c r="G11" s="649">
        <v>496</v>
      </c>
      <c r="H11" s="41">
        <f t="shared" si="0"/>
        <v>57.961783439490453</v>
      </c>
      <c r="I11" s="75">
        <f t="shared" si="3"/>
        <v>367</v>
      </c>
      <c r="J11" s="26">
        <f t="shared" si="4"/>
        <v>552</v>
      </c>
      <c r="K11" s="29">
        <f t="shared" si="1"/>
        <v>50.408719346049047</v>
      </c>
      <c r="L11" s="11"/>
    </row>
    <row r="12" spans="1:12" ht="11.9" customHeight="1">
      <c r="A12" s="24" t="s">
        <v>4</v>
      </c>
      <c r="B12" s="25"/>
      <c r="C12" s="26">
        <f>SUM(C8:C11)</f>
        <v>265</v>
      </c>
      <c r="D12" s="26">
        <f>SUM(D8:D11)</f>
        <v>282</v>
      </c>
      <c r="E12" s="41">
        <f t="shared" si="2"/>
        <v>6.4150943396226401</v>
      </c>
      <c r="F12" s="26">
        <f>SUM(F8:F11)</f>
        <v>1512</v>
      </c>
      <c r="G12" s="649">
        <f>SUM(G8:G11)</f>
        <v>1416</v>
      </c>
      <c r="H12" s="41">
        <f t="shared" si="0"/>
        <v>-6.3492063492063489</v>
      </c>
      <c r="I12" s="26">
        <f t="shared" si="3"/>
        <v>1777</v>
      </c>
      <c r="J12" s="26">
        <f t="shared" si="4"/>
        <v>1698</v>
      </c>
      <c r="K12" s="29">
        <f t="shared" si="1"/>
        <v>-4.4456949915588018</v>
      </c>
      <c r="L12" s="11"/>
    </row>
    <row r="13" spans="1:12" ht="11.9" customHeight="1">
      <c r="A13" s="24" t="s">
        <v>5</v>
      </c>
      <c r="B13" s="25"/>
      <c r="C13" s="26">
        <v>421</v>
      </c>
      <c r="D13" s="26">
        <v>500</v>
      </c>
      <c r="E13" s="41">
        <f t="shared" si="2"/>
        <v>18.764845605700707</v>
      </c>
      <c r="F13" s="26">
        <v>6157</v>
      </c>
      <c r="G13" s="649">
        <v>5052</v>
      </c>
      <c r="H13" s="41">
        <f t="shared" si="0"/>
        <v>-17.947052135780417</v>
      </c>
      <c r="I13" s="75">
        <f t="shared" si="3"/>
        <v>6578</v>
      </c>
      <c r="J13" s="26">
        <f t="shared" si="4"/>
        <v>5552</v>
      </c>
      <c r="K13" s="29">
        <f t="shared" si="1"/>
        <v>-15.597446032228646</v>
      </c>
      <c r="L13" s="11"/>
    </row>
    <row r="14" spans="1:12" ht="11.9" customHeight="1">
      <c r="A14" s="24" t="s">
        <v>6</v>
      </c>
      <c r="B14" s="25"/>
      <c r="C14" s="26">
        <v>1072</v>
      </c>
      <c r="D14" s="26">
        <v>937</v>
      </c>
      <c r="E14" s="41">
        <f t="shared" si="2"/>
        <v>-12.593283582089555</v>
      </c>
      <c r="F14" s="26">
        <v>6905</v>
      </c>
      <c r="G14" s="649">
        <v>8183</v>
      </c>
      <c r="H14" s="41">
        <f t="shared" si="0"/>
        <v>18.508327299058646</v>
      </c>
      <c r="I14" s="75">
        <f t="shared" si="3"/>
        <v>7977</v>
      </c>
      <c r="J14" s="26">
        <f t="shared" si="4"/>
        <v>9120</v>
      </c>
      <c r="K14" s="29">
        <f t="shared" si="1"/>
        <v>14.328694998119595</v>
      </c>
      <c r="L14" s="11"/>
    </row>
    <row r="15" spans="1:12" ht="11.9" customHeight="1">
      <c r="A15" s="24" t="s">
        <v>7</v>
      </c>
      <c r="B15" s="25"/>
      <c r="C15" s="26">
        <v>308</v>
      </c>
      <c r="D15" s="26">
        <v>260</v>
      </c>
      <c r="E15" s="41">
        <f t="shared" si="2"/>
        <v>-15.58441558441559</v>
      </c>
      <c r="F15" s="26">
        <v>423</v>
      </c>
      <c r="G15" s="649">
        <v>667</v>
      </c>
      <c r="H15" s="41">
        <f t="shared" si="0"/>
        <v>57.683215130023633</v>
      </c>
      <c r="I15" s="75">
        <f t="shared" si="3"/>
        <v>731</v>
      </c>
      <c r="J15" s="26">
        <f t="shared" si="4"/>
        <v>927</v>
      </c>
      <c r="K15" s="29">
        <f t="shared" si="1"/>
        <v>26.812585499316</v>
      </c>
      <c r="L15" s="11"/>
    </row>
    <row r="16" spans="1:12" ht="11.9" customHeight="1">
      <c r="A16" s="24" t="s">
        <v>8</v>
      </c>
      <c r="B16" s="25"/>
      <c r="C16" s="26">
        <v>160</v>
      </c>
      <c r="D16" s="26">
        <v>218</v>
      </c>
      <c r="E16" s="41">
        <f t="shared" si="2"/>
        <v>36.250000000000007</v>
      </c>
      <c r="F16" s="26">
        <v>510</v>
      </c>
      <c r="G16" s="649">
        <v>349</v>
      </c>
      <c r="H16" s="41">
        <f t="shared" si="0"/>
        <v>-31.56862745098039</v>
      </c>
      <c r="I16" s="75">
        <f t="shared" si="3"/>
        <v>670</v>
      </c>
      <c r="J16" s="26">
        <f t="shared" si="4"/>
        <v>567</v>
      </c>
      <c r="K16" s="29">
        <f t="shared" si="1"/>
        <v>-15.373134328358207</v>
      </c>
      <c r="L16" s="11"/>
    </row>
    <row r="17" spans="1:12" ht="11.9" customHeight="1">
      <c r="A17" s="24" t="s">
        <v>9</v>
      </c>
      <c r="B17" s="25"/>
      <c r="C17" s="26">
        <v>2099</v>
      </c>
      <c r="D17" s="26">
        <v>1653</v>
      </c>
      <c r="E17" s="41">
        <f t="shared" si="2"/>
        <v>-21.248213434969031</v>
      </c>
      <c r="F17" s="26">
        <v>5413</v>
      </c>
      <c r="G17" s="649">
        <v>4982</v>
      </c>
      <c r="H17" s="41">
        <f t="shared" si="0"/>
        <v>-7.9623129503048169</v>
      </c>
      <c r="I17" s="75">
        <f t="shared" si="3"/>
        <v>7512</v>
      </c>
      <c r="J17" s="26">
        <f t="shared" si="4"/>
        <v>6635</v>
      </c>
      <c r="K17" s="29">
        <f t="shared" si="1"/>
        <v>-11.674653887113951</v>
      </c>
      <c r="L17" s="11"/>
    </row>
    <row r="18" spans="1:12" ht="11.9" customHeight="1">
      <c r="A18" s="24" t="s">
        <v>10</v>
      </c>
      <c r="B18" s="25"/>
      <c r="C18" s="26">
        <f>SUM(C15:C17)</f>
        <v>2567</v>
      </c>
      <c r="D18" s="26">
        <f>SUM(D15:D17)</f>
        <v>2131</v>
      </c>
      <c r="E18" s="41">
        <f t="shared" si="2"/>
        <v>-16.984807167900271</v>
      </c>
      <c r="F18" s="26">
        <f>SUM(F15:F17)</f>
        <v>6346</v>
      </c>
      <c r="G18" s="649">
        <f>SUM(G15:G17)</f>
        <v>5998</v>
      </c>
      <c r="H18" s="41">
        <f t="shared" si="0"/>
        <v>-5.4837693034982653</v>
      </c>
      <c r="I18" s="75">
        <f t="shared" si="3"/>
        <v>8913</v>
      </c>
      <c r="J18" s="26">
        <f t="shared" si="4"/>
        <v>8129</v>
      </c>
      <c r="K18" s="29">
        <f t="shared" si="1"/>
        <v>-8.7961404689778977</v>
      </c>
      <c r="L18" s="11"/>
    </row>
    <row r="19" spans="1:12" ht="11.9" customHeight="1">
      <c r="A19" s="30" t="s">
        <v>11</v>
      </c>
      <c r="B19" s="31"/>
      <c r="C19" s="32">
        <v>490</v>
      </c>
      <c r="D19" s="32">
        <v>523</v>
      </c>
      <c r="E19" s="43">
        <f t="shared" si="2"/>
        <v>6.7346938775510123</v>
      </c>
      <c r="F19" s="32">
        <v>4642</v>
      </c>
      <c r="G19" s="650">
        <v>6952</v>
      </c>
      <c r="H19" s="43">
        <f t="shared" si="0"/>
        <v>49.763033175355446</v>
      </c>
      <c r="I19" s="59">
        <f t="shared" si="3"/>
        <v>5132</v>
      </c>
      <c r="J19" s="32">
        <f t="shared" si="4"/>
        <v>7475</v>
      </c>
      <c r="K19" s="35">
        <f t="shared" si="1"/>
        <v>45.654715510522202</v>
      </c>
      <c r="L19" s="11"/>
    </row>
    <row r="20" spans="1:12" ht="13.5" customHeight="1">
      <c r="A20" s="36" t="s">
        <v>12</v>
      </c>
      <c r="B20" s="39"/>
      <c r="C20" s="38">
        <f>SUM(C12:C14,C18:C19)</f>
        <v>4815</v>
      </c>
      <c r="D20" s="38">
        <f>SUM(D12:D14,D18:D19)</f>
        <v>4373</v>
      </c>
      <c r="E20" s="58">
        <f>IF(C20=D20,"-",IF((C20=0),"##",IF(ABS((D20/C20-1)*100)&gt;=500,"##",(D20/C20-1)*100)))</f>
        <v>-9.1796469366562832</v>
      </c>
      <c r="F20" s="38">
        <f>SUM(F12:F14,F18:F19)</f>
        <v>25562</v>
      </c>
      <c r="G20" s="651">
        <f>SUM(G12:G14,G18:G19)</f>
        <v>27601</v>
      </c>
      <c r="H20" s="58">
        <f>IF(F20=G20,"-",IF((F20=0),"##",IF(ABS((G20/F20-1)*100)&gt;=500,"##",(G20/F20-1)*100)))</f>
        <v>7.9766841405210842</v>
      </c>
      <c r="I20" s="60">
        <f t="shared" si="3"/>
        <v>30377</v>
      </c>
      <c r="J20" s="38">
        <f t="shared" si="4"/>
        <v>31974</v>
      </c>
      <c r="K20" s="16">
        <f>IF(I20=J20,"-",IF((I20=0),"##",IF(ABS((J20/I20-1)*100)&gt;=500,"##",(J20/I20-1)*100)))</f>
        <v>5.257267011225597</v>
      </c>
      <c r="L20" s="11"/>
    </row>
    <row r="21" spans="1:12" ht="12" customHeight="1">
      <c r="A21" s="48" t="s">
        <v>13</v>
      </c>
      <c r="B21" s="61"/>
      <c r="C21" s="62"/>
      <c r="D21" s="63"/>
      <c r="E21" s="64"/>
      <c r="F21" s="63"/>
      <c r="G21" s="652"/>
      <c r="H21" s="64"/>
      <c r="I21" s="65"/>
      <c r="J21" s="63"/>
      <c r="K21" s="35"/>
      <c r="L21" s="11"/>
    </row>
    <row r="22" spans="1:12" ht="12" customHeight="1">
      <c r="A22" s="51"/>
      <c r="B22" s="66"/>
      <c r="C22" s="67"/>
      <c r="D22" s="67"/>
      <c r="E22" s="68"/>
      <c r="F22" s="67"/>
      <c r="G22" s="653"/>
      <c r="H22" s="68"/>
      <c r="I22" s="69"/>
      <c r="J22" s="67"/>
      <c r="K22" s="70"/>
      <c r="L22" s="11"/>
    </row>
    <row r="23" spans="1:12" ht="11.9" customHeight="1">
      <c r="A23" s="18" t="s">
        <v>104</v>
      </c>
      <c r="B23" s="22"/>
      <c r="C23" s="40">
        <v>14</v>
      </c>
      <c r="D23" s="40">
        <v>13</v>
      </c>
      <c r="E23" s="40">
        <f t="shared" ref="E23:E65" si="5">IF(C23=D23,"-",IF((C23=0),"##",IF(ABS((D23/C23-1)*100)&gt;=500,"##",(D23/C23-1)*100)))</f>
        <v>-7.1428571428571397</v>
      </c>
      <c r="F23" s="20">
        <v>432</v>
      </c>
      <c r="G23" s="654">
        <v>31</v>
      </c>
      <c r="H23" s="40">
        <f t="shared" ref="H23:H65" si="6">IF(F23=G23,"-",IF((F23=0),"##",IF(ABS((G23/F23-1)*100)&gt;=500,"##",(G23/F23-1)*100)))</f>
        <v>-92.824074074074076</v>
      </c>
      <c r="I23" s="74">
        <f t="shared" ref="I23:I66" si="7">C23+F23</f>
        <v>446</v>
      </c>
      <c r="J23" s="20">
        <f t="shared" ref="J23:J66" si="8">D23+G23</f>
        <v>44</v>
      </c>
      <c r="K23" s="23">
        <f t="shared" ref="K23:K65" si="9">IF(I23=J23,"-",IF((I23=0),"##",IF(ABS((J23/I23-1)*100)&gt;=500,"##",(J23/I23-1)*100)))</f>
        <v>-90.134529147982065</v>
      </c>
      <c r="L23" s="11"/>
    </row>
    <row r="24" spans="1:12" ht="11.9" customHeight="1">
      <c r="A24" s="674" t="s">
        <v>14</v>
      </c>
      <c r="B24" s="28"/>
      <c r="C24" s="41">
        <v>15</v>
      </c>
      <c r="D24" s="41">
        <v>22</v>
      </c>
      <c r="E24" s="41">
        <f t="shared" si="5"/>
        <v>46.666666666666657</v>
      </c>
      <c r="F24" s="26">
        <v>51</v>
      </c>
      <c r="G24" s="649">
        <v>36</v>
      </c>
      <c r="H24" s="41">
        <f t="shared" si="6"/>
        <v>-29.411764705882348</v>
      </c>
      <c r="I24" s="75">
        <f t="shared" si="7"/>
        <v>66</v>
      </c>
      <c r="J24" s="26">
        <f t="shared" si="8"/>
        <v>58</v>
      </c>
      <c r="K24" s="29">
        <f t="shared" si="9"/>
        <v>-12.121212121212121</v>
      </c>
      <c r="L24" s="11"/>
    </row>
    <row r="25" spans="1:12" ht="11.9" customHeight="1">
      <c r="A25" s="674" t="s">
        <v>185</v>
      </c>
      <c r="B25" s="28"/>
      <c r="C25" s="41">
        <v>16</v>
      </c>
      <c r="D25" s="41">
        <v>5</v>
      </c>
      <c r="E25" s="255">
        <f t="shared" si="5"/>
        <v>-68.75</v>
      </c>
      <c r="F25" s="41">
        <v>165</v>
      </c>
      <c r="G25" s="649">
        <v>4</v>
      </c>
      <c r="H25" s="255">
        <f t="shared" si="6"/>
        <v>-97.575757575757578</v>
      </c>
      <c r="I25" s="41">
        <f t="shared" si="7"/>
        <v>181</v>
      </c>
      <c r="J25" s="26">
        <f t="shared" si="8"/>
        <v>9</v>
      </c>
      <c r="K25" s="255">
        <f t="shared" si="9"/>
        <v>-95.027624309392266</v>
      </c>
      <c r="L25" s="11"/>
    </row>
    <row r="26" spans="1:12" ht="11.9" customHeight="1">
      <c r="A26" s="674" t="s">
        <v>15</v>
      </c>
      <c r="B26" s="28"/>
      <c r="C26" s="41">
        <v>14</v>
      </c>
      <c r="D26" s="41">
        <v>46</v>
      </c>
      <c r="E26" s="255">
        <f t="shared" si="5"/>
        <v>228.57142857142856</v>
      </c>
      <c r="F26" s="26">
        <v>242</v>
      </c>
      <c r="G26" s="649">
        <v>213</v>
      </c>
      <c r="H26" s="255">
        <f t="shared" si="6"/>
        <v>-11.983471074380169</v>
      </c>
      <c r="I26" s="75">
        <f t="shared" si="7"/>
        <v>256</v>
      </c>
      <c r="J26" s="26">
        <f t="shared" si="8"/>
        <v>259</v>
      </c>
      <c r="K26" s="29">
        <f>IF(I26=J26,"-",IF((I26=0),"##",IF(ABS((J26/I26-1)*100)&gt;=500,"##",(J26/I26-1)*100)))</f>
        <v>1.171875</v>
      </c>
      <c r="L26" s="11"/>
    </row>
    <row r="27" spans="1:12" ht="11.9" customHeight="1">
      <c r="A27" s="674" t="s">
        <v>16</v>
      </c>
      <c r="B27" s="28"/>
      <c r="C27" s="41">
        <v>1052</v>
      </c>
      <c r="D27" s="41">
        <v>839</v>
      </c>
      <c r="E27" s="255">
        <f t="shared" si="5"/>
        <v>-20.247148288973381</v>
      </c>
      <c r="F27" s="26">
        <v>2984</v>
      </c>
      <c r="G27" s="649">
        <v>2553</v>
      </c>
      <c r="H27" s="255">
        <f t="shared" si="6"/>
        <v>-14.443699731903481</v>
      </c>
      <c r="I27" s="75">
        <f t="shared" si="7"/>
        <v>4036</v>
      </c>
      <c r="J27" s="26">
        <f t="shared" si="8"/>
        <v>3392</v>
      </c>
      <c r="K27" s="29">
        <f t="shared" si="9"/>
        <v>-15.956392467789893</v>
      </c>
      <c r="L27" s="11"/>
    </row>
    <row r="28" spans="1:12" ht="11.9" customHeight="1">
      <c r="A28" s="674" t="s">
        <v>179</v>
      </c>
      <c r="B28" s="28"/>
      <c r="C28" s="41">
        <v>18</v>
      </c>
      <c r="D28" s="41">
        <v>14</v>
      </c>
      <c r="E28" s="255">
        <f t="shared" si="5"/>
        <v>-22.222222222222221</v>
      </c>
      <c r="F28" s="26">
        <v>46</v>
      </c>
      <c r="G28" s="649">
        <v>17</v>
      </c>
      <c r="H28" s="255">
        <f t="shared" si="6"/>
        <v>-63.04347826086957</v>
      </c>
      <c r="I28" s="75">
        <f t="shared" si="7"/>
        <v>64</v>
      </c>
      <c r="J28" s="26">
        <f t="shared" si="8"/>
        <v>31</v>
      </c>
      <c r="K28" s="29">
        <f t="shared" si="9"/>
        <v>-51.5625</v>
      </c>
      <c r="L28" s="11"/>
    </row>
    <row r="29" spans="1:12" ht="11.9" customHeight="1">
      <c r="A29" s="674" t="s">
        <v>180</v>
      </c>
      <c r="B29" s="28"/>
      <c r="C29" s="41">
        <v>16</v>
      </c>
      <c r="D29" s="41">
        <v>29</v>
      </c>
      <c r="E29" s="255">
        <f t="shared" si="5"/>
        <v>81.25</v>
      </c>
      <c r="F29" s="26">
        <v>85</v>
      </c>
      <c r="G29" s="649">
        <v>84</v>
      </c>
      <c r="H29" s="255">
        <f t="shared" si="6"/>
        <v>-1.1764705882352899</v>
      </c>
      <c r="I29" s="75">
        <f t="shared" si="7"/>
        <v>101</v>
      </c>
      <c r="J29" s="26">
        <f t="shared" si="8"/>
        <v>113</v>
      </c>
      <c r="K29" s="29">
        <f t="shared" si="9"/>
        <v>11.881188118811892</v>
      </c>
      <c r="L29" s="11"/>
    </row>
    <row r="30" spans="1:12" ht="11.9" customHeight="1">
      <c r="A30" s="674" t="s">
        <v>17</v>
      </c>
      <c r="B30" s="28"/>
      <c r="C30" s="41">
        <v>868</v>
      </c>
      <c r="D30" s="41">
        <v>629</v>
      </c>
      <c r="E30" s="255">
        <f t="shared" si="5"/>
        <v>-27.534562211981562</v>
      </c>
      <c r="F30" s="26">
        <v>1821</v>
      </c>
      <c r="G30" s="649">
        <v>1850</v>
      </c>
      <c r="H30" s="255">
        <f t="shared" si="6"/>
        <v>1.5925315760571213</v>
      </c>
      <c r="I30" s="75">
        <f t="shared" si="7"/>
        <v>2689</v>
      </c>
      <c r="J30" s="26">
        <f t="shared" si="8"/>
        <v>2479</v>
      </c>
      <c r="K30" s="29">
        <f t="shared" si="9"/>
        <v>-7.8095946448493825</v>
      </c>
      <c r="L30" s="11"/>
    </row>
    <row r="31" spans="1:12" ht="11.9" customHeight="1">
      <c r="A31" s="674" t="s">
        <v>181</v>
      </c>
      <c r="B31" s="28"/>
      <c r="C31" s="41">
        <v>19</v>
      </c>
      <c r="D31" s="41">
        <v>14</v>
      </c>
      <c r="E31" s="255">
        <f t="shared" si="5"/>
        <v>-26.315789473684216</v>
      </c>
      <c r="F31" s="26">
        <v>2</v>
      </c>
      <c r="G31" s="649">
        <v>92</v>
      </c>
      <c r="H31" s="255" t="str">
        <f t="shared" si="6"/>
        <v>##</v>
      </c>
      <c r="I31" s="75">
        <f t="shared" si="7"/>
        <v>21</v>
      </c>
      <c r="J31" s="26">
        <f t="shared" si="8"/>
        <v>106</v>
      </c>
      <c r="K31" s="29">
        <f t="shared" si="9"/>
        <v>404.76190476190476</v>
      </c>
      <c r="L31" s="11"/>
    </row>
    <row r="32" spans="1:12" ht="11.9" customHeight="1">
      <c r="A32" s="674" t="s">
        <v>102</v>
      </c>
      <c r="B32" s="28"/>
      <c r="C32" s="41">
        <v>2</v>
      </c>
      <c r="D32" s="41">
        <v>5</v>
      </c>
      <c r="E32" s="255">
        <f t="shared" si="5"/>
        <v>150</v>
      </c>
      <c r="F32" s="26">
        <v>0</v>
      </c>
      <c r="G32" s="649">
        <v>7</v>
      </c>
      <c r="H32" s="255" t="str">
        <f t="shared" si="6"/>
        <v>##</v>
      </c>
      <c r="I32" s="75">
        <f t="shared" si="7"/>
        <v>2</v>
      </c>
      <c r="J32" s="26">
        <f t="shared" si="8"/>
        <v>12</v>
      </c>
      <c r="K32" s="29" t="str">
        <f t="shared" si="9"/>
        <v>##</v>
      </c>
      <c r="L32" s="11"/>
    </row>
    <row r="33" spans="1:12" ht="11.9" customHeight="1">
      <c r="A33" s="674" t="s">
        <v>18</v>
      </c>
      <c r="B33" s="28"/>
      <c r="C33" s="41">
        <v>1</v>
      </c>
      <c r="D33" s="41">
        <v>3</v>
      </c>
      <c r="E33" s="255">
        <f t="shared" si="5"/>
        <v>200</v>
      </c>
      <c r="F33" s="26">
        <v>1</v>
      </c>
      <c r="G33" s="649">
        <v>19</v>
      </c>
      <c r="H33" s="255" t="str">
        <f t="shared" si="6"/>
        <v>##</v>
      </c>
      <c r="I33" s="75">
        <f t="shared" si="7"/>
        <v>2</v>
      </c>
      <c r="J33" s="26">
        <f t="shared" si="8"/>
        <v>22</v>
      </c>
      <c r="K33" s="29" t="str">
        <f t="shared" si="9"/>
        <v>##</v>
      </c>
      <c r="L33" s="11"/>
    </row>
    <row r="34" spans="1:12" ht="11.9" customHeight="1">
      <c r="A34" s="674" t="s">
        <v>19</v>
      </c>
      <c r="B34" s="28"/>
      <c r="C34" s="41">
        <v>91</v>
      </c>
      <c r="D34" s="41">
        <v>77</v>
      </c>
      <c r="E34" s="255">
        <f t="shared" si="5"/>
        <v>-15.384615384615385</v>
      </c>
      <c r="F34" s="26">
        <v>861</v>
      </c>
      <c r="G34" s="649">
        <v>604</v>
      </c>
      <c r="H34" s="255">
        <f t="shared" si="6"/>
        <v>-29.849012775842041</v>
      </c>
      <c r="I34" s="75">
        <f t="shared" si="7"/>
        <v>952</v>
      </c>
      <c r="J34" s="26">
        <f t="shared" si="8"/>
        <v>681</v>
      </c>
      <c r="K34" s="29">
        <f t="shared" si="9"/>
        <v>-28.466386554621849</v>
      </c>
      <c r="L34" s="11"/>
    </row>
    <row r="35" spans="1:12" ht="11.9" customHeight="1">
      <c r="A35" s="674" t="s">
        <v>20</v>
      </c>
      <c r="B35" s="28"/>
      <c r="C35" s="41">
        <v>27</v>
      </c>
      <c r="D35" s="41">
        <v>28</v>
      </c>
      <c r="E35" s="255">
        <f t="shared" si="5"/>
        <v>3.7037037037036979</v>
      </c>
      <c r="F35" s="26">
        <v>427</v>
      </c>
      <c r="G35" s="649">
        <v>653</v>
      </c>
      <c r="H35" s="255">
        <f t="shared" si="6"/>
        <v>52.927400468384064</v>
      </c>
      <c r="I35" s="75">
        <f t="shared" si="7"/>
        <v>454</v>
      </c>
      <c r="J35" s="26">
        <f t="shared" si="8"/>
        <v>681</v>
      </c>
      <c r="K35" s="29">
        <f t="shared" si="9"/>
        <v>50</v>
      </c>
      <c r="L35" s="11"/>
    </row>
    <row r="36" spans="1:12" ht="11.9" customHeight="1">
      <c r="A36" s="674" t="s">
        <v>182</v>
      </c>
      <c r="B36" s="28"/>
      <c r="C36" s="41">
        <v>26</v>
      </c>
      <c r="D36" s="41">
        <v>30</v>
      </c>
      <c r="E36" s="255">
        <f t="shared" si="5"/>
        <v>15.384615384615374</v>
      </c>
      <c r="F36" s="26">
        <v>92</v>
      </c>
      <c r="G36" s="649">
        <v>423</v>
      </c>
      <c r="H36" s="255">
        <f t="shared" si="6"/>
        <v>359.78260869565213</v>
      </c>
      <c r="I36" s="75">
        <f t="shared" si="7"/>
        <v>118</v>
      </c>
      <c r="J36" s="26">
        <f t="shared" si="8"/>
        <v>453</v>
      </c>
      <c r="K36" s="29">
        <f t="shared" si="9"/>
        <v>283.89830508474574</v>
      </c>
      <c r="L36" s="11"/>
    </row>
    <row r="37" spans="1:12" ht="11.9" customHeight="1">
      <c r="A37" s="674" t="s">
        <v>21</v>
      </c>
      <c r="B37" s="28"/>
      <c r="C37" s="41">
        <v>28</v>
      </c>
      <c r="D37" s="41">
        <v>29</v>
      </c>
      <c r="E37" s="255">
        <f t="shared" si="5"/>
        <v>3.5714285714285809</v>
      </c>
      <c r="F37" s="26">
        <v>445</v>
      </c>
      <c r="G37" s="649">
        <v>515</v>
      </c>
      <c r="H37" s="255">
        <f t="shared" si="6"/>
        <v>15.730337078651679</v>
      </c>
      <c r="I37" s="75">
        <f t="shared" si="7"/>
        <v>473</v>
      </c>
      <c r="J37" s="26">
        <f t="shared" si="8"/>
        <v>544</v>
      </c>
      <c r="K37" s="29">
        <f t="shared" si="9"/>
        <v>15.010570824524304</v>
      </c>
      <c r="L37" s="11"/>
    </row>
    <row r="38" spans="1:12" ht="11.9" customHeight="1">
      <c r="A38" s="674" t="s">
        <v>22</v>
      </c>
      <c r="B38" s="28"/>
      <c r="C38" s="41">
        <v>19</v>
      </c>
      <c r="D38" s="41">
        <v>35</v>
      </c>
      <c r="E38" s="255">
        <f t="shared" si="5"/>
        <v>84.210526315789465</v>
      </c>
      <c r="F38" s="26">
        <v>183</v>
      </c>
      <c r="G38" s="649">
        <v>12</v>
      </c>
      <c r="H38" s="255">
        <f t="shared" si="6"/>
        <v>-93.442622950819683</v>
      </c>
      <c r="I38" s="75">
        <f t="shared" si="7"/>
        <v>202</v>
      </c>
      <c r="J38" s="26">
        <f t="shared" si="8"/>
        <v>47</v>
      </c>
      <c r="K38" s="29">
        <f t="shared" si="9"/>
        <v>-76.732673267326732</v>
      </c>
      <c r="L38" s="11"/>
    </row>
    <row r="39" spans="1:12" ht="37.5" customHeight="1">
      <c r="A39" s="675" t="s">
        <v>103</v>
      </c>
      <c r="B39" s="447"/>
      <c r="C39" s="41">
        <v>29</v>
      </c>
      <c r="D39" s="41">
        <v>44</v>
      </c>
      <c r="E39" s="255">
        <f t="shared" si="5"/>
        <v>51.724137931034477</v>
      </c>
      <c r="F39" s="26">
        <v>460</v>
      </c>
      <c r="G39" s="649">
        <v>1179</v>
      </c>
      <c r="H39" s="255">
        <f t="shared" si="6"/>
        <v>156.30434782608694</v>
      </c>
      <c r="I39" s="75">
        <f t="shared" si="7"/>
        <v>489</v>
      </c>
      <c r="J39" s="26">
        <f t="shared" si="8"/>
        <v>1223</v>
      </c>
      <c r="K39" s="29">
        <f t="shared" si="9"/>
        <v>150.10224948875253</v>
      </c>
      <c r="L39" s="11"/>
    </row>
    <row r="40" spans="1:12" ht="11.9" customHeight="1">
      <c r="A40" s="676" t="s">
        <v>115</v>
      </c>
      <c r="B40" s="355"/>
      <c r="C40" s="41">
        <v>41</v>
      </c>
      <c r="D40" s="41">
        <v>29</v>
      </c>
      <c r="E40" s="255">
        <f t="shared" si="5"/>
        <v>-29.268292682926834</v>
      </c>
      <c r="F40" s="26">
        <v>103</v>
      </c>
      <c r="G40" s="649">
        <v>40</v>
      </c>
      <c r="H40" s="255">
        <f t="shared" si="6"/>
        <v>-61.165048543689316</v>
      </c>
      <c r="I40" s="75">
        <f t="shared" si="7"/>
        <v>144</v>
      </c>
      <c r="J40" s="26">
        <f t="shared" si="8"/>
        <v>69</v>
      </c>
      <c r="K40" s="29">
        <f t="shared" si="9"/>
        <v>-52.083333333333329</v>
      </c>
      <c r="L40" s="11"/>
    </row>
    <row r="41" spans="1:12" ht="11.9" customHeight="1">
      <c r="A41" s="674" t="s">
        <v>23</v>
      </c>
      <c r="B41" s="28"/>
      <c r="C41" s="41">
        <v>55</v>
      </c>
      <c r="D41" s="41">
        <v>45</v>
      </c>
      <c r="E41" s="255">
        <f t="shared" si="5"/>
        <v>-18.181818181818176</v>
      </c>
      <c r="F41" s="26">
        <v>88</v>
      </c>
      <c r="G41" s="649">
        <v>393</v>
      </c>
      <c r="H41" s="255">
        <f t="shared" si="6"/>
        <v>346.59090909090907</v>
      </c>
      <c r="I41" s="75">
        <f t="shared" si="7"/>
        <v>143</v>
      </c>
      <c r="J41" s="26">
        <f t="shared" si="8"/>
        <v>438</v>
      </c>
      <c r="K41" s="29">
        <f t="shared" si="9"/>
        <v>206.29370629370629</v>
      </c>
      <c r="L41" s="11"/>
    </row>
    <row r="42" spans="1:12" ht="11.9" customHeight="1">
      <c r="A42" s="674" t="s">
        <v>24</v>
      </c>
      <c r="B42" s="28"/>
      <c r="C42" s="41">
        <v>11</v>
      </c>
      <c r="D42" s="41">
        <v>11</v>
      </c>
      <c r="E42" s="255" t="str">
        <f t="shared" si="5"/>
        <v>-</v>
      </c>
      <c r="F42" s="26">
        <v>272</v>
      </c>
      <c r="G42" s="649">
        <v>242</v>
      </c>
      <c r="H42" s="255">
        <f t="shared" si="6"/>
        <v>-11.029411764705888</v>
      </c>
      <c r="I42" s="75">
        <f t="shared" si="7"/>
        <v>283</v>
      </c>
      <c r="J42" s="26">
        <f t="shared" si="8"/>
        <v>253</v>
      </c>
      <c r="K42" s="29">
        <f t="shared" si="9"/>
        <v>-10.600706713780916</v>
      </c>
      <c r="L42" s="11"/>
    </row>
    <row r="43" spans="1:12" ht="11.9" customHeight="1">
      <c r="A43" s="674" t="s">
        <v>25</v>
      </c>
      <c r="B43" s="28"/>
      <c r="C43" s="41">
        <v>153</v>
      </c>
      <c r="D43" s="41">
        <v>134</v>
      </c>
      <c r="E43" s="255">
        <f t="shared" si="5"/>
        <v>-12.418300653594772</v>
      </c>
      <c r="F43" s="26">
        <v>3244</v>
      </c>
      <c r="G43" s="649">
        <v>2300</v>
      </c>
      <c r="H43" s="255">
        <f t="shared" si="6"/>
        <v>-29.099876695437732</v>
      </c>
      <c r="I43" s="75">
        <f t="shared" si="7"/>
        <v>3397</v>
      </c>
      <c r="J43" s="26">
        <f t="shared" si="8"/>
        <v>2434</v>
      </c>
      <c r="K43" s="29">
        <f t="shared" si="9"/>
        <v>-28.348542831910507</v>
      </c>
      <c r="L43" s="11"/>
    </row>
    <row r="44" spans="1:12" ht="11.9" customHeight="1">
      <c r="A44" s="674" t="s">
        <v>183</v>
      </c>
      <c r="B44" s="28"/>
      <c r="C44" s="41">
        <v>8</v>
      </c>
      <c r="D44" s="41">
        <v>3</v>
      </c>
      <c r="E44" s="255">
        <f t="shared" si="5"/>
        <v>-62.5</v>
      </c>
      <c r="F44" s="26">
        <v>79</v>
      </c>
      <c r="G44" s="649">
        <v>10</v>
      </c>
      <c r="H44" s="255">
        <f t="shared" si="6"/>
        <v>-87.341772151898738</v>
      </c>
      <c r="I44" s="75">
        <f t="shared" si="7"/>
        <v>87</v>
      </c>
      <c r="J44" s="26">
        <f t="shared" si="8"/>
        <v>13</v>
      </c>
      <c r="K44" s="29">
        <f t="shared" si="9"/>
        <v>-85.057471264367805</v>
      </c>
      <c r="L44" s="11"/>
    </row>
    <row r="45" spans="1:12" ht="11.9" customHeight="1">
      <c r="A45" s="674" t="s">
        <v>26</v>
      </c>
      <c r="B45" s="28"/>
      <c r="C45" s="41">
        <v>15</v>
      </c>
      <c r="D45" s="41">
        <v>58</v>
      </c>
      <c r="E45" s="255">
        <f t="shared" si="5"/>
        <v>286.66666666666669</v>
      </c>
      <c r="F45" s="26">
        <v>4</v>
      </c>
      <c r="G45" s="649">
        <v>45</v>
      </c>
      <c r="H45" s="255" t="str">
        <f t="shared" si="6"/>
        <v>##</v>
      </c>
      <c r="I45" s="75">
        <f t="shared" si="7"/>
        <v>19</v>
      </c>
      <c r="J45" s="26">
        <f t="shared" si="8"/>
        <v>103</v>
      </c>
      <c r="K45" s="29">
        <f t="shared" si="9"/>
        <v>442.1052631578948</v>
      </c>
      <c r="L45" s="11"/>
    </row>
    <row r="46" spans="1:12" s="658" customFormat="1" ht="11.9" customHeight="1">
      <c r="A46" s="674" t="s">
        <v>27</v>
      </c>
      <c r="B46" s="677"/>
      <c r="C46" s="668">
        <f>+SUM(C47+C48)</f>
        <v>246</v>
      </c>
      <c r="D46" s="668">
        <f>+SUM(D47+D48)</f>
        <v>215</v>
      </c>
      <c r="E46" s="255">
        <f t="shared" si="5"/>
        <v>-12.601626016260159</v>
      </c>
      <c r="F46" s="668">
        <f>+SUM(F47+F48)</f>
        <v>1637</v>
      </c>
      <c r="G46" s="649">
        <f>+SUM(G47+G48)</f>
        <v>1680</v>
      </c>
      <c r="H46" s="255">
        <f t="shared" si="6"/>
        <v>2.6267562614538775</v>
      </c>
      <c r="I46" s="668">
        <f t="shared" si="7"/>
        <v>1883</v>
      </c>
      <c r="J46" s="668">
        <f t="shared" si="8"/>
        <v>1895</v>
      </c>
      <c r="K46" s="678">
        <f t="shared" si="9"/>
        <v>0.63728093467869673</v>
      </c>
      <c r="L46" s="679"/>
    </row>
    <row r="47" spans="1:12" ht="11.9" customHeight="1">
      <c r="A47" s="674" t="s">
        <v>28</v>
      </c>
      <c r="B47" s="28"/>
      <c r="C47" s="26">
        <v>30</v>
      </c>
      <c r="D47" s="26">
        <v>55</v>
      </c>
      <c r="E47" s="255">
        <f t="shared" si="5"/>
        <v>83.333333333333329</v>
      </c>
      <c r="F47" s="26">
        <v>401</v>
      </c>
      <c r="G47" s="649">
        <v>339</v>
      </c>
      <c r="H47" s="255">
        <f t="shared" si="6"/>
        <v>-15.461346633416461</v>
      </c>
      <c r="I47" s="75">
        <f t="shared" si="7"/>
        <v>431</v>
      </c>
      <c r="J47" s="26">
        <f t="shared" si="8"/>
        <v>394</v>
      </c>
      <c r="K47" s="29">
        <f t="shared" si="9"/>
        <v>-8.5846867749419964</v>
      </c>
      <c r="L47" s="11"/>
    </row>
    <row r="48" spans="1:12" ht="11.9" customHeight="1">
      <c r="A48" s="674" t="s">
        <v>29</v>
      </c>
      <c r="B48" s="28"/>
      <c r="C48" s="26">
        <v>216</v>
      </c>
      <c r="D48" s="26">
        <v>160</v>
      </c>
      <c r="E48" s="255">
        <f t="shared" si="5"/>
        <v>-25.925925925925931</v>
      </c>
      <c r="F48" s="26">
        <v>1236</v>
      </c>
      <c r="G48" s="649">
        <v>1341</v>
      </c>
      <c r="H48" s="255">
        <f t="shared" si="6"/>
        <v>8.4951456310679685</v>
      </c>
      <c r="I48" s="75">
        <f t="shared" si="7"/>
        <v>1452</v>
      </c>
      <c r="J48" s="26">
        <f t="shared" si="8"/>
        <v>1501</v>
      </c>
      <c r="K48" s="29">
        <f t="shared" si="9"/>
        <v>3.3746556473829292</v>
      </c>
      <c r="L48" s="11"/>
    </row>
    <row r="49" spans="1:12" ht="11.9" customHeight="1">
      <c r="A49" s="674" t="s">
        <v>30</v>
      </c>
      <c r="B49" s="28"/>
      <c r="C49" s="26">
        <v>15</v>
      </c>
      <c r="D49" s="26">
        <v>7</v>
      </c>
      <c r="E49" s="255">
        <f t="shared" si="5"/>
        <v>-53.333333333333336</v>
      </c>
      <c r="F49" s="26">
        <v>1</v>
      </c>
      <c r="G49" s="649">
        <v>0</v>
      </c>
      <c r="H49" s="255">
        <f t="shared" si="6"/>
        <v>-100</v>
      </c>
      <c r="I49" s="75">
        <f t="shared" si="7"/>
        <v>16</v>
      </c>
      <c r="J49" s="26">
        <f t="shared" si="8"/>
        <v>7</v>
      </c>
      <c r="K49" s="29">
        <f t="shared" si="9"/>
        <v>-56.25</v>
      </c>
      <c r="L49" s="11"/>
    </row>
    <row r="50" spans="1:12" ht="11.9" customHeight="1">
      <c r="A50" s="674" t="s">
        <v>31</v>
      </c>
      <c r="B50" s="28"/>
      <c r="C50" s="26">
        <v>69</v>
      </c>
      <c r="D50" s="26">
        <v>97</v>
      </c>
      <c r="E50" s="255">
        <f t="shared" si="5"/>
        <v>40.579710144927539</v>
      </c>
      <c r="F50" s="26">
        <v>981</v>
      </c>
      <c r="G50" s="649">
        <v>894</v>
      </c>
      <c r="H50" s="255">
        <f t="shared" si="6"/>
        <v>-8.8685015290519864</v>
      </c>
      <c r="I50" s="75">
        <f t="shared" si="7"/>
        <v>1050</v>
      </c>
      <c r="J50" s="26">
        <f t="shared" si="8"/>
        <v>991</v>
      </c>
      <c r="K50" s="29">
        <f t="shared" si="9"/>
        <v>-5.619047619047624</v>
      </c>
      <c r="L50" s="11"/>
    </row>
    <row r="51" spans="1:12" ht="11.9" customHeight="1">
      <c r="A51" s="674" t="s">
        <v>184</v>
      </c>
      <c r="B51" s="28"/>
      <c r="C51" s="26">
        <v>23</v>
      </c>
      <c r="D51" s="26">
        <v>12</v>
      </c>
      <c r="E51" s="255">
        <f t="shared" si="5"/>
        <v>-47.826086956521742</v>
      </c>
      <c r="F51" s="26">
        <v>14</v>
      </c>
      <c r="G51" s="649">
        <v>17</v>
      </c>
      <c r="H51" s="255">
        <f t="shared" si="6"/>
        <v>21.42857142857142</v>
      </c>
      <c r="I51" s="75">
        <f t="shared" si="7"/>
        <v>37</v>
      </c>
      <c r="J51" s="26">
        <f t="shared" si="8"/>
        <v>29</v>
      </c>
      <c r="K51" s="29">
        <f t="shared" si="9"/>
        <v>-21.621621621621621</v>
      </c>
      <c r="L51" s="11"/>
    </row>
    <row r="52" spans="1:12" ht="11.9" customHeight="1">
      <c r="A52" s="674" t="s">
        <v>32</v>
      </c>
      <c r="B52" s="28"/>
      <c r="C52" s="26">
        <v>39</v>
      </c>
      <c r="D52" s="26">
        <v>70</v>
      </c>
      <c r="E52" s="255">
        <f t="shared" si="5"/>
        <v>79.487179487179489</v>
      </c>
      <c r="F52" s="26">
        <v>398</v>
      </c>
      <c r="G52" s="649">
        <v>70</v>
      </c>
      <c r="H52" s="255">
        <f t="shared" si="6"/>
        <v>-82.412060301507537</v>
      </c>
      <c r="I52" s="75">
        <f t="shared" si="7"/>
        <v>437</v>
      </c>
      <c r="J52" s="26">
        <f t="shared" si="8"/>
        <v>140</v>
      </c>
      <c r="K52" s="29">
        <f t="shared" si="9"/>
        <v>-67.963386727688786</v>
      </c>
      <c r="L52" s="11"/>
    </row>
    <row r="53" spans="1:12" ht="11.9" customHeight="1">
      <c r="A53" s="674" t="s">
        <v>33</v>
      </c>
      <c r="B53" s="28"/>
      <c r="C53" s="26">
        <v>16</v>
      </c>
      <c r="D53" s="26">
        <v>21</v>
      </c>
      <c r="E53" s="255">
        <f t="shared" si="5"/>
        <v>31.25</v>
      </c>
      <c r="F53" s="26">
        <v>108</v>
      </c>
      <c r="G53" s="649">
        <v>90</v>
      </c>
      <c r="H53" s="255">
        <f t="shared" si="6"/>
        <v>-16.666666666666664</v>
      </c>
      <c r="I53" s="75">
        <f t="shared" si="7"/>
        <v>124</v>
      </c>
      <c r="J53" s="26">
        <f t="shared" si="8"/>
        <v>111</v>
      </c>
      <c r="K53" s="29">
        <f t="shared" si="9"/>
        <v>-10.483870967741938</v>
      </c>
      <c r="L53" s="11"/>
    </row>
    <row r="54" spans="1:12" ht="11.9" customHeight="1">
      <c r="A54" s="674" t="s">
        <v>100</v>
      </c>
      <c r="B54" s="28"/>
      <c r="C54" s="26">
        <v>44</v>
      </c>
      <c r="D54" s="26">
        <v>82</v>
      </c>
      <c r="E54" s="255">
        <f t="shared" si="5"/>
        <v>86.36363636363636</v>
      </c>
      <c r="F54" s="26">
        <v>272</v>
      </c>
      <c r="G54" s="649">
        <v>429</v>
      </c>
      <c r="H54" s="255">
        <f t="shared" si="6"/>
        <v>57.720588235294116</v>
      </c>
      <c r="I54" s="75">
        <f t="shared" si="7"/>
        <v>316</v>
      </c>
      <c r="J54" s="26">
        <f t="shared" si="8"/>
        <v>511</v>
      </c>
      <c r="K54" s="29">
        <f t="shared" si="9"/>
        <v>61.708860759493668</v>
      </c>
      <c r="L54" s="11"/>
    </row>
    <row r="55" spans="1:12" ht="11.9" customHeight="1">
      <c r="A55" s="674" t="s">
        <v>34</v>
      </c>
      <c r="B55" s="28"/>
      <c r="C55" s="26">
        <v>8</v>
      </c>
      <c r="D55" s="26">
        <v>22</v>
      </c>
      <c r="E55" s="255">
        <f t="shared" si="5"/>
        <v>175</v>
      </c>
      <c r="F55" s="26">
        <v>26</v>
      </c>
      <c r="G55" s="649">
        <v>14</v>
      </c>
      <c r="H55" s="255">
        <f t="shared" si="6"/>
        <v>-46.153846153846153</v>
      </c>
      <c r="I55" s="75">
        <f t="shared" si="7"/>
        <v>34</v>
      </c>
      <c r="J55" s="26">
        <f t="shared" si="8"/>
        <v>36</v>
      </c>
      <c r="K55" s="29">
        <f t="shared" si="9"/>
        <v>5.8823529411764719</v>
      </c>
      <c r="L55" s="11"/>
    </row>
    <row r="56" spans="1:12" ht="11.9" customHeight="1">
      <c r="A56" s="674" t="s">
        <v>101</v>
      </c>
      <c r="B56" s="28"/>
      <c r="C56" s="26">
        <v>50</v>
      </c>
      <c r="D56" s="26">
        <v>58</v>
      </c>
      <c r="E56" s="255">
        <f t="shared" si="5"/>
        <v>15.999999999999993</v>
      </c>
      <c r="F56" s="26">
        <v>41</v>
      </c>
      <c r="G56" s="649">
        <v>48</v>
      </c>
      <c r="H56" s="255">
        <f t="shared" si="6"/>
        <v>17.073170731707311</v>
      </c>
      <c r="I56" s="75">
        <f t="shared" si="7"/>
        <v>91</v>
      </c>
      <c r="J56" s="26">
        <f t="shared" si="8"/>
        <v>106</v>
      </c>
      <c r="K56" s="29">
        <f t="shared" si="9"/>
        <v>16.483516483516492</v>
      </c>
      <c r="L56" s="11"/>
    </row>
    <row r="57" spans="1:12" ht="11.9" customHeight="1">
      <c r="A57" s="674" t="s">
        <v>35</v>
      </c>
      <c r="B57" s="28"/>
      <c r="C57" s="26">
        <v>108</v>
      </c>
      <c r="D57" s="26">
        <v>135</v>
      </c>
      <c r="E57" s="255">
        <f t="shared" si="5"/>
        <v>25</v>
      </c>
      <c r="F57" s="26">
        <v>80</v>
      </c>
      <c r="G57" s="649">
        <v>271</v>
      </c>
      <c r="H57" s="255">
        <f t="shared" si="6"/>
        <v>238.75000000000003</v>
      </c>
      <c r="I57" s="75">
        <f t="shared" si="7"/>
        <v>188</v>
      </c>
      <c r="J57" s="26">
        <f t="shared" si="8"/>
        <v>406</v>
      </c>
      <c r="K57" s="29">
        <f t="shared" si="9"/>
        <v>115.95744680851064</v>
      </c>
      <c r="L57" s="11"/>
    </row>
    <row r="58" spans="1:12" ht="11.9" customHeight="1">
      <c r="A58" s="674" t="s">
        <v>36</v>
      </c>
      <c r="B58" s="28"/>
      <c r="C58" s="26">
        <v>20</v>
      </c>
      <c r="D58" s="26">
        <v>36</v>
      </c>
      <c r="E58" s="255">
        <f t="shared" si="5"/>
        <v>80</v>
      </c>
      <c r="F58" s="26">
        <v>122</v>
      </c>
      <c r="G58" s="649">
        <v>235</v>
      </c>
      <c r="H58" s="255">
        <f t="shared" si="6"/>
        <v>92.622950819672127</v>
      </c>
      <c r="I58" s="75">
        <f t="shared" si="7"/>
        <v>142</v>
      </c>
      <c r="J58" s="26">
        <f t="shared" si="8"/>
        <v>271</v>
      </c>
      <c r="K58" s="29">
        <f t="shared" si="9"/>
        <v>90.845070422535201</v>
      </c>
      <c r="L58" s="11"/>
    </row>
    <row r="59" spans="1:12" ht="11.9" customHeight="1">
      <c r="A59" s="674" t="s">
        <v>37</v>
      </c>
      <c r="B59" s="28"/>
      <c r="C59" s="26">
        <v>3</v>
      </c>
      <c r="D59" s="26">
        <v>5</v>
      </c>
      <c r="E59" s="255">
        <f t="shared" si="5"/>
        <v>66.666666666666671</v>
      </c>
      <c r="F59" s="26">
        <v>14</v>
      </c>
      <c r="G59" s="649">
        <v>96</v>
      </c>
      <c r="H59" s="255" t="str">
        <f t="shared" si="6"/>
        <v>##</v>
      </c>
      <c r="I59" s="75">
        <f t="shared" si="7"/>
        <v>17</v>
      </c>
      <c r="J59" s="26">
        <f t="shared" si="8"/>
        <v>101</v>
      </c>
      <c r="K59" s="29">
        <f t="shared" si="9"/>
        <v>494.11764705882354</v>
      </c>
      <c r="L59" s="11"/>
    </row>
    <row r="60" spans="1:12" ht="11.9" customHeight="1">
      <c r="A60" s="674" t="s">
        <v>38</v>
      </c>
      <c r="B60" s="28"/>
      <c r="C60" s="26">
        <v>386</v>
      </c>
      <c r="D60" s="26">
        <v>262</v>
      </c>
      <c r="E60" s="255">
        <f t="shared" si="5"/>
        <v>-32.124352331606218</v>
      </c>
      <c r="F60" s="26">
        <v>3461</v>
      </c>
      <c r="G60" s="649">
        <v>3122</v>
      </c>
      <c r="H60" s="255">
        <f t="shared" si="6"/>
        <v>-9.7948569777520973</v>
      </c>
      <c r="I60" s="75">
        <f t="shared" si="7"/>
        <v>3847</v>
      </c>
      <c r="J60" s="26">
        <f t="shared" si="8"/>
        <v>3384</v>
      </c>
      <c r="K60" s="29">
        <f t="shared" si="9"/>
        <v>-12.035352222511042</v>
      </c>
      <c r="L60" s="11"/>
    </row>
    <row r="61" spans="1:12" ht="11.9" customHeight="1">
      <c r="A61" s="674" t="s">
        <v>39</v>
      </c>
      <c r="B61" s="28"/>
      <c r="C61" s="26">
        <v>14</v>
      </c>
      <c r="D61" s="26">
        <v>9</v>
      </c>
      <c r="E61" s="255">
        <f t="shared" si="5"/>
        <v>-35.714285714285708</v>
      </c>
      <c r="F61" s="26">
        <v>63</v>
      </c>
      <c r="G61" s="649">
        <v>56</v>
      </c>
      <c r="H61" s="255">
        <f t="shared" si="6"/>
        <v>-11.111111111111116</v>
      </c>
      <c r="I61" s="75">
        <f t="shared" si="7"/>
        <v>77</v>
      </c>
      <c r="J61" s="26">
        <f t="shared" si="8"/>
        <v>65</v>
      </c>
      <c r="K61" s="29">
        <f t="shared" si="9"/>
        <v>-15.58441558441559</v>
      </c>
      <c r="L61" s="11"/>
    </row>
    <row r="62" spans="1:12" ht="11.9" customHeight="1">
      <c r="A62" s="674" t="s">
        <v>40</v>
      </c>
      <c r="B62" s="28"/>
      <c r="C62" s="26">
        <v>268</v>
      </c>
      <c r="D62" s="26">
        <v>283</v>
      </c>
      <c r="E62" s="255">
        <f t="shared" si="5"/>
        <v>5.5970149253731449</v>
      </c>
      <c r="F62" s="26">
        <v>3143</v>
      </c>
      <c r="G62" s="649">
        <v>4707</v>
      </c>
      <c r="H62" s="41">
        <f t="shared" si="6"/>
        <v>49.761374482978042</v>
      </c>
      <c r="I62" s="75">
        <f t="shared" si="7"/>
        <v>3411</v>
      </c>
      <c r="J62" s="26">
        <f t="shared" si="8"/>
        <v>4990</v>
      </c>
      <c r="K62" s="29">
        <f t="shared" si="9"/>
        <v>46.291410143652875</v>
      </c>
      <c r="L62" s="11"/>
    </row>
    <row r="63" spans="1:12" ht="11.9" customHeight="1">
      <c r="A63" s="24" t="s">
        <v>41</v>
      </c>
      <c r="B63" s="28"/>
      <c r="C63" s="26">
        <v>27</v>
      </c>
      <c r="D63" s="26">
        <v>33</v>
      </c>
      <c r="E63" s="255">
        <f t="shared" si="5"/>
        <v>22.222222222222232</v>
      </c>
      <c r="F63" s="26">
        <v>219</v>
      </c>
      <c r="G63" s="649">
        <v>527</v>
      </c>
      <c r="H63" s="41">
        <f t="shared" si="6"/>
        <v>140.63926940639271</v>
      </c>
      <c r="I63" s="75">
        <f t="shared" si="7"/>
        <v>246</v>
      </c>
      <c r="J63" s="26">
        <f t="shared" si="8"/>
        <v>560</v>
      </c>
      <c r="K63" s="29">
        <f t="shared" si="9"/>
        <v>127.64227642276423</v>
      </c>
      <c r="L63" s="11"/>
    </row>
    <row r="64" spans="1:12" ht="11.9" customHeight="1">
      <c r="A64" s="24" t="s">
        <v>42</v>
      </c>
      <c r="B64" s="28"/>
      <c r="C64" s="26">
        <v>31</v>
      </c>
      <c r="D64" s="26">
        <v>12</v>
      </c>
      <c r="E64" s="255">
        <f t="shared" si="5"/>
        <v>-61.29032258064516</v>
      </c>
      <c r="F64" s="26">
        <v>64</v>
      </c>
      <c r="G64" s="649">
        <v>16</v>
      </c>
      <c r="H64" s="41">
        <f t="shared" si="6"/>
        <v>-75</v>
      </c>
      <c r="I64" s="75">
        <f t="shared" si="7"/>
        <v>95</v>
      </c>
      <c r="J64" s="26">
        <f t="shared" si="8"/>
        <v>28</v>
      </c>
      <c r="K64" s="29">
        <f t="shared" si="9"/>
        <v>-70.526315789473685</v>
      </c>
      <c r="L64" s="11"/>
    </row>
    <row r="65" spans="1:12" ht="11.9" customHeight="1">
      <c r="A65" s="30" t="s">
        <v>43</v>
      </c>
      <c r="B65" s="34"/>
      <c r="C65" s="26">
        <v>270</v>
      </c>
      <c r="D65" s="26">
        <v>236</v>
      </c>
      <c r="E65" s="41">
        <f t="shared" si="5"/>
        <v>-12.592592592592588</v>
      </c>
      <c r="F65" s="26">
        <v>328</v>
      </c>
      <c r="G65" s="649">
        <v>596</v>
      </c>
      <c r="H65" s="43">
        <f t="shared" si="6"/>
        <v>81.707317073170742</v>
      </c>
      <c r="I65" s="59">
        <f t="shared" si="7"/>
        <v>598</v>
      </c>
      <c r="J65" s="26">
        <f t="shared" si="8"/>
        <v>832</v>
      </c>
      <c r="K65" s="29">
        <f t="shared" si="9"/>
        <v>39.130434782608688</v>
      </c>
      <c r="L65" s="11"/>
    </row>
    <row r="66" spans="1:12" ht="12" customHeight="1" thickBot="1">
      <c r="A66" s="17" t="s">
        <v>44</v>
      </c>
      <c r="B66" s="44"/>
      <c r="C66" s="45">
        <f>SUM(C23:C46,C49:C65)</f>
        <v>4175</v>
      </c>
      <c r="D66" s="45">
        <f>SUM(D23:D46,D49:D65)</f>
        <v>3737</v>
      </c>
      <c r="E66" s="46">
        <f>IF(C66=D66,"-",IF((C66=0),"##",IF(ABS((D66/C66-1)*100)&gt;=500,"##",(D66/C66-1)*100)))</f>
        <v>-10.491017964071858</v>
      </c>
      <c r="F66" s="45">
        <f>SUM(F23:F46,F49:F65)</f>
        <v>23059</v>
      </c>
      <c r="G66" s="655">
        <f>SUM(G23:G46,G49:G65)</f>
        <v>24190</v>
      </c>
      <c r="H66" s="46">
        <f>IF(F66=G66,"-",IF((F66=0),"##",IF(ABS((G66/F66-1)*100)&gt;=500,"##",(G66/F66-1)*100)))</f>
        <v>4.9048094019688682</v>
      </c>
      <c r="I66" s="71">
        <f t="shared" si="7"/>
        <v>27234</v>
      </c>
      <c r="J66" s="45">
        <f t="shared" si="8"/>
        <v>27927</v>
      </c>
      <c r="K66" s="47">
        <f>IF(I66=J66,"-",IF((I66=0),"##",IF(ABS((J66/I66-1)*100)&gt;=500,"##",(J66/I66-1)*100)))</f>
        <v>2.544613350958369</v>
      </c>
      <c r="L66" s="11"/>
    </row>
    <row r="67" spans="1:12" ht="12" customHeight="1">
      <c r="A67" s="53" t="str">
        <f>Titles!A8</f>
        <v>1 Data for 2023, 2024 and 2025 based on 2021 Census Definitions.</v>
      </c>
      <c r="B67" s="296"/>
      <c r="C67" s="297"/>
      <c r="D67" s="297"/>
      <c r="E67" s="297"/>
      <c r="F67" s="53"/>
      <c r="G67" s="656"/>
      <c r="H67" s="296"/>
      <c r="I67" s="296"/>
      <c r="J67" s="296"/>
      <c r="K67" s="299"/>
      <c r="L67" s="11"/>
    </row>
    <row r="68" spans="1:12" s="303" customFormat="1" ht="12" customHeight="1">
      <c r="A68" s="353" t="str">
        <f>Titles!A10</f>
        <v>Source: CMHC Starts and Completion Survey, Market Absorption Survey</v>
      </c>
      <c r="B68" s="302"/>
      <c r="C68" s="302"/>
      <c r="D68" s="302"/>
      <c r="E68" s="302"/>
      <c r="F68" s="353"/>
      <c r="G68" s="657"/>
      <c r="H68" s="302"/>
      <c r="I68" s="302"/>
      <c r="J68" s="302"/>
      <c r="K68" s="10"/>
    </row>
    <row r="69" spans="1:12">
      <c r="A69" s="53"/>
      <c r="F69" s="53"/>
    </row>
  </sheetData>
  <phoneticPr fontId="11" type="noConversion"/>
  <pageMargins left="0.78740157480314965" right="0.51181102362204722" top="0.51181102362204722" bottom="0.51181102362204722" header="0.51181102362204722" footer="0.51181102362204722"/>
  <pageSetup scale="95"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C66:D66 F66:G66 F46:G46 C46:D46 H21:H24 E21:E24 E8:E11 I8:K24 H8:H11 I66:K66 H13:H17 E13:E17 E19 H19 E65 C12:D12 F12:G12 A67:D68 A2:K4 I45:I47 H62:H65 I61:I65 K26:K27 I26:I27 E25 H25:K25 C18:D18 F18:G18 C20:D22 F20:G22" unlockedFormula="1"/>
    <ignoredError sqref="H66 E66 E12 E18 E20 H20 H18 H12" formula="1"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62"/>
  <sheetViews>
    <sheetView showGridLines="0" showZeros="0" zoomScale="115" zoomScaleNormal="115" workbookViewId="0">
      <pane xSplit="3" ySplit="10" topLeftCell="D11" activePane="bottomRight" state="frozen"/>
      <selection pane="topRight"/>
      <selection pane="bottomLeft"/>
      <selection pane="bottomRight"/>
    </sheetView>
  </sheetViews>
  <sheetFormatPr defaultColWidth="11.53515625" defaultRowHeight="11.5"/>
  <cols>
    <col min="1" max="1" width="7.765625" style="12" customWidth="1"/>
    <col min="2" max="3" width="8.765625" style="12" customWidth="1"/>
    <col min="4" max="8" width="9.765625" style="12" customWidth="1"/>
    <col min="9" max="16384" width="11.53515625" style="12"/>
  </cols>
  <sheetData>
    <row r="1" spans="1:9" ht="16.149999999999999" customHeight="1">
      <c r="A1" s="415" t="s">
        <v>138</v>
      </c>
      <c r="B1" s="416"/>
      <c r="C1" s="416"/>
      <c r="D1" s="416"/>
      <c r="E1" s="416"/>
      <c r="F1" s="416"/>
      <c r="G1" s="416"/>
      <c r="H1" s="417"/>
      <c r="I1" s="77"/>
    </row>
    <row r="2" spans="1:9" ht="16.149999999999999" customHeight="1">
      <c r="A2" s="418" t="s">
        <v>49</v>
      </c>
      <c r="B2" s="419"/>
      <c r="C2" s="419"/>
      <c r="D2" s="419"/>
      <c r="E2" s="419"/>
      <c r="F2" s="419"/>
      <c r="G2" s="419"/>
      <c r="H2" s="420"/>
      <c r="I2" s="77"/>
    </row>
    <row r="3" spans="1:9" ht="16.149999999999999" customHeight="1">
      <c r="A3" s="421"/>
      <c r="B3" s="454"/>
      <c r="C3" s="454"/>
      <c r="D3" s="454"/>
      <c r="E3" s="454"/>
      <c r="F3" s="454"/>
      <c r="G3" s="454"/>
      <c r="H3" s="455"/>
      <c r="I3" s="77"/>
    </row>
    <row r="4" spans="1:9" ht="16.149999999999999" customHeight="1" thickBot="1">
      <c r="A4" s="424"/>
      <c r="B4" s="456"/>
      <c r="C4" s="456"/>
      <c r="D4" s="456"/>
      <c r="E4" s="456"/>
      <c r="F4" s="456"/>
      <c r="G4" s="456"/>
      <c r="H4" s="457"/>
      <c r="I4" s="77"/>
    </row>
    <row r="5" spans="1:9" ht="13.5">
      <c r="A5" s="78"/>
      <c r="B5" s="79"/>
      <c r="C5" s="93"/>
      <c r="D5" s="92"/>
      <c r="E5" s="80" t="s">
        <v>94</v>
      </c>
      <c r="F5" s="93"/>
      <c r="G5" s="105"/>
      <c r="H5" s="533"/>
      <c r="I5" s="77"/>
    </row>
    <row r="6" spans="1:9" ht="12">
      <c r="A6" s="81"/>
      <c r="B6" s="82"/>
      <c r="C6" s="94"/>
      <c r="D6" s="157"/>
      <c r="E6" s="158"/>
      <c r="F6" s="115"/>
      <c r="G6" s="115"/>
      <c r="H6" s="534" t="s">
        <v>50</v>
      </c>
      <c r="I6" s="77"/>
    </row>
    <row r="7" spans="1:9" ht="11.25" customHeight="1">
      <c r="A7" s="83" t="s">
        <v>93</v>
      </c>
      <c r="B7" s="82"/>
      <c r="C7" s="94"/>
      <c r="D7" s="376" t="s">
        <v>51</v>
      </c>
      <c r="E7" s="376" t="s">
        <v>54</v>
      </c>
      <c r="F7" s="378" t="s">
        <v>44</v>
      </c>
      <c r="G7" s="95" t="s">
        <v>52</v>
      </c>
      <c r="H7" s="500" t="s">
        <v>12</v>
      </c>
      <c r="I7" s="77"/>
    </row>
    <row r="8" spans="1:9" ht="21" customHeight="1">
      <c r="A8" s="543"/>
      <c r="B8" s="544"/>
      <c r="C8" s="545"/>
      <c r="D8" s="546" t="s">
        <v>53</v>
      </c>
      <c r="E8" s="546" t="s">
        <v>56</v>
      </c>
      <c r="F8" s="547"/>
      <c r="G8" s="548" t="s">
        <v>55</v>
      </c>
      <c r="H8" s="549"/>
      <c r="I8" s="77"/>
    </row>
    <row r="9" spans="1:9" ht="21" hidden="1" customHeight="1">
      <c r="A9" s="77"/>
      <c r="B9" s="82"/>
      <c r="C9" s="94"/>
      <c r="D9" s="377"/>
      <c r="F9" s="96"/>
      <c r="G9" s="96"/>
      <c r="H9" s="103"/>
      <c r="I9" s="77"/>
    </row>
    <row r="10" spans="1:9" ht="21" hidden="1" customHeight="1">
      <c r="A10" s="82"/>
      <c r="B10" s="82"/>
      <c r="C10" s="94"/>
      <c r="D10" s="377"/>
      <c r="E10" s="377"/>
      <c r="F10" s="96"/>
      <c r="G10" s="96"/>
      <c r="H10" s="96"/>
      <c r="I10" s="77"/>
    </row>
    <row r="11" spans="1:9" ht="15" customHeight="1">
      <c r="A11" s="106" t="s">
        <v>261</v>
      </c>
      <c r="B11" s="551"/>
      <c r="C11" s="552"/>
      <c r="D11" s="188">
        <v>44383</v>
      </c>
      <c r="E11" s="188">
        <v>183314</v>
      </c>
      <c r="F11" s="188">
        <v>227697</v>
      </c>
      <c r="G11" s="188">
        <v>17423</v>
      </c>
      <c r="H11" s="188">
        <v>245120</v>
      </c>
      <c r="I11" s="77"/>
    </row>
    <row r="12" spans="1:9" ht="15" customHeight="1">
      <c r="A12" s="550" t="s">
        <v>266</v>
      </c>
      <c r="B12" s="82"/>
      <c r="C12" s="94"/>
      <c r="D12" s="366">
        <v>41851</v>
      </c>
      <c r="E12" s="366">
        <v>199320</v>
      </c>
      <c r="F12" s="366">
        <v>241171</v>
      </c>
      <c r="G12" s="366">
        <v>17857</v>
      </c>
      <c r="H12" s="366">
        <v>259028</v>
      </c>
      <c r="I12" s="77"/>
    </row>
    <row r="13" spans="1:9">
      <c r="A13" s="106">
        <f>Titles!A22</f>
        <v>2025</v>
      </c>
      <c r="B13" s="107" t="s">
        <v>57</v>
      </c>
      <c r="C13" s="159"/>
      <c r="D13" s="685">
        <v>42990</v>
      </c>
      <c r="E13" s="685">
        <v>176150</v>
      </c>
      <c r="F13" s="685">
        <v>219140</v>
      </c>
      <c r="G13" s="112">
        <v>10888</v>
      </c>
      <c r="H13" s="208">
        <f>IF(SUM(F13,G13)=0,"",SUM(F13,G13))</f>
        <v>230028</v>
      </c>
      <c r="I13" s="77"/>
    </row>
    <row r="14" spans="1:9">
      <c r="A14" s="110"/>
      <c r="B14" s="111" t="s">
        <v>58</v>
      </c>
      <c r="C14" s="160"/>
      <c r="D14" s="112">
        <v>43586.999999999993</v>
      </c>
      <c r="E14" s="112">
        <v>210123</v>
      </c>
      <c r="F14" s="131">
        <v>253710</v>
      </c>
      <c r="G14" s="112">
        <v>22333.000000000004</v>
      </c>
      <c r="H14" s="209">
        <f t="shared" ref="H14:H16" si="0">IF(SUM(F14,G14)=0,"",SUM(F14,G14))</f>
        <v>276043</v>
      </c>
      <c r="I14" s="77"/>
    </row>
    <row r="15" spans="1:9">
      <c r="A15" s="114"/>
      <c r="B15" s="111" t="s">
        <v>59</v>
      </c>
      <c r="C15" s="160"/>
      <c r="D15" s="112">
        <v>40872</v>
      </c>
      <c r="E15" s="112">
        <v>207772.00000000003</v>
      </c>
      <c r="F15" s="112">
        <v>248644</v>
      </c>
      <c r="G15" s="112">
        <v>23990</v>
      </c>
      <c r="H15" s="209">
        <f t="shared" si="0"/>
        <v>272634</v>
      </c>
      <c r="I15" s="77"/>
    </row>
    <row r="16" spans="1:9">
      <c r="A16" s="86"/>
      <c r="B16" s="84" t="s">
        <v>60</v>
      </c>
      <c r="C16" s="162"/>
      <c r="D16" s="112">
        <v>40248.000000000007</v>
      </c>
      <c r="E16" s="112">
        <v>203295.00000000003</v>
      </c>
      <c r="F16" s="112">
        <v>243543</v>
      </c>
      <c r="G16" s="112">
        <v>13437.999999999998</v>
      </c>
      <c r="H16" s="209">
        <f t="shared" si="0"/>
        <v>256981</v>
      </c>
      <c r="I16" s="77"/>
    </row>
    <row r="17" spans="1:9">
      <c r="A17" s="535"/>
      <c r="B17" s="536"/>
      <c r="C17" s="537"/>
      <c r="D17" s="685"/>
      <c r="F17" s="112"/>
      <c r="G17" s="685"/>
      <c r="H17" s="208"/>
      <c r="I17" s="77"/>
    </row>
    <row r="18" spans="1:9">
      <c r="A18" s="132">
        <f>Titles!A23</f>
        <v>2026</v>
      </c>
      <c r="B18" s="133" t="s">
        <v>57</v>
      </c>
      <c r="C18" s="161"/>
      <c r="D18" s="685"/>
      <c r="E18" s="685"/>
      <c r="F18" s="685"/>
      <c r="G18" s="112"/>
      <c r="H18" s="208"/>
      <c r="I18" s="77"/>
    </row>
    <row r="19" spans="1:9">
      <c r="A19" s="110"/>
      <c r="B19" s="111" t="s">
        <v>58</v>
      </c>
      <c r="C19" s="160"/>
      <c r="D19" s="112"/>
      <c r="E19" s="112"/>
      <c r="F19" s="131"/>
      <c r="G19" s="112"/>
      <c r="H19" s="209"/>
      <c r="I19" s="77"/>
    </row>
    <row r="20" spans="1:9">
      <c r="A20" s="114"/>
      <c r="B20" s="111" t="s">
        <v>59</v>
      </c>
      <c r="C20" s="160"/>
      <c r="D20" s="112"/>
      <c r="E20" s="112"/>
      <c r="F20" s="112"/>
      <c r="G20" s="112"/>
      <c r="H20" s="209"/>
      <c r="I20" s="77"/>
    </row>
    <row r="21" spans="1:9">
      <c r="A21" s="86"/>
      <c r="B21" s="84" t="s">
        <v>60</v>
      </c>
      <c r="C21" s="162"/>
      <c r="D21" s="112"/>
      <c r="E21" s="112"/>
      <c r="F21" s="112"/>
      <c r="G21" s="112"/>
      <c r="H21" s="209"/>
      <c r="I21" s="77"/>
    </row>
    <row r="22" spans="1:9">
      <c r="A22" s="106">
        <f>Titles!A22</f>
        <v>2025</v>
      </c>
      <c r="B22" s="107" t="s">
        <v>61</v>
      </c>
      <c r="C22" s="163"/>
      <c r="D22" s="108">
        <v>44028</v>
      </c>
      <c r="E22" s="108">
        <v>176269</v>
      </c>
      <c r="F22" s="108">
        <v>220297</v>
      </c>
      <c r="G22" s="108">
        <v>13532.999999999998</v>
      </c>
      <c r="H22" s="109">
        <f t="shared" ref="H22:H23" si="1">IF(SUM(F22,G22)=0,"",SUM(F22,G22))</f>
        <v>233830</v>
      </c>
      <c r="I22" s="77"/>
    </row>
    <row r="23" spans="1:9">
      <c r="A23" s="116"/>
      <c r="B23" s="111" t="s">
        <v>62</v>
      </c>
      <c r="C23" s="164"/>
      <c r="D23" s="112">
        <v>42694.999999999993</v>
      </c>
      <c r="E23" s="112">
        <v>166594</v>
      </c>
      <c r="F23" s="112">
        <v>209289.00000000003</v>
      </c>
      <c r="G23" s="112">
        <v>13159</v>
      </c>
      <c r="H23" s="113">
        <f t="shared" si="1"/>
        <v>222448.00000000003</v>
      </c>
      <c r="I23" s="77"/>
    </row>
    <row r="24" spans="1:9">
      <c r="A24" s="116"/>
      <c r="B24" s="111" t="s">
        <v>63</v>
      </c>
      <c r="C24" s="164"/>
      <c r="D24" s="112">
        <v>42423</v>
      </c>
      <c r="E24" s="112">
        <v>159826.00000000003</v>
      </c>
      <c r="F24" s="112">
        <v>202249.00000000003</v>
      </c>
      <c r="G24" s="112">
        <v>12245.000000000002</v>
      </c>
      <c r="H24" s="113">
        <f t="shared" ref="H24:H46" si="2">IF(SUM(F24,G24)=0,"",SUM(F24,G24))</f>
        <v>214494.00000000003</v>
      </c>
      <c r="I24" s="77"/>
    </row>
    <row r="25" spans="1:9">
      <c r="A25" s="116"/>
      <c r="B25" s="111" t="s">
        <v>64</v>
      </c>
      <c r="C25" s="164"/>
      <c r="D25" s="112">
        <v>44333.000000000007</v>
      </c>
      <c r="E25" s="112">
        <v>216960</v>
      </c>
      <c r="F25" s="112">
        <v>261293</v>
      </c>
      <c r="G25" s="112">
        <v>20532.999999999996</v>
      </c>
      <c r="H25" s="113">
        <f t="shared" si="2"/>
        <v>281826</v>
      </c>
      <c r="I25" s="77"/>
    </row>
    <row r="26" spans="1:9">
      <c r="A26" s="116"/>
      <c r="B26" s="111" t="s">
        <v>65</v>
      </c>
      <c r="C26" s="164"/>
      <c r="D26" s="112">
        <v>42278</v>
      </c>
      <c r="E26" s="112">
        <v>215415.00000000003</v>
      </c>
      <c r="F26" s="112">
        <v>257693.00000000003</v>
      </c>
      <c r="G26" s="112">
        <v>21008.000000000004</v>
      </c>
      <c r="H26" s="113">
        <f t="shared" si="2"/>
        <v>278701.00000000006</v>
      </c>
      <c r="I26" s="77"/>
    </row>
    <row r="27" spans="1:9">
      <c r="A27" s="116"/>
      <c r="B27" s="111" t="s">
        <v>66</v>
      </c>
      <c r="C27" s="164"/>
      <c r="D27" s="112">
        <v>42938.999999999993</v>
      </c>
      <c r="E27" s="112">
        <v>219862.00000000003</v>
      </c>
      <c r="F27" s="112">
        <v>262801.00000000006</v>
      </c>
      <c r="G27" s="112">
        <v>21364</v>
      </c>
      <c r="H27" s="113">
        <f t="shared" si="2"/>
        <v>284165.00000000006</v>
      </c>
      <c r="I27" s="77"/>
    </row>
    <row r="28" spans="1:9">
      <c r="A28" s="116"/>
      <c r="B28" s="111" t="s">
        <v>67</v>
      </c>
      <c r="C28" s="164"/>
      <c r="D28" s="112">
        <v>42049.000000000007</v>
      </c>
      <c r="E28" s="112">
        <v>228167.00000000003</v>
      </c>
      <c r="F28" s="112">
        <v>270216</v>
      </c>
      <c r="G28" s="112">
        <v>23661</v>
      </c>
      <c r="H28" s="113">
        <f t="shared" si="2"/>
        <v>293877</v>
      </c>
      <c r="I28" s="77"/>
    </row>
    <row r="29" spans="1:9">
      <c r="A29" s="116"/>
      <c r="B29" s="111" t="s">
        <v>68</v>
      </c>
      <c r="C29" s="164"/>
      <c r="D29" s="112">
        <v>40179</v>
      </c>
      <c r="E29" s="112">
        <v>180076.00000000003</v>
      </c>
      <c r="F29" s="112">
        <v>220255</v>
      </c>
      <c r="G29" s="112">
        <v>24017.999999999996</v>
      </c>
      <c r="H29" s="113">
        <f t="shared" si="2"/>
        <v>244273</v>
      </c>
      <c r="I29" s="77"/>
    </row>
    <row r="30" spans="1:9">
      <c r="A30" s="116"/>
      <c r="B30" s="111" t="s">
        <v>69</v>
      </c>
      <c r="C30" s="164"/>
      <c r="D30" s="112">
        <v>41587</v>
      </c>
      <c r="E30" s="112">
        <v>215708</v>
      </c>
      <c r="F30" s="112">
        <v>257295.00000000003</v>
      </c>
      <c r="G30" s="112">
        <v>23531</v>
      </c>
      <c r="H30" s="113">
        <f t="shared" si="2"/>
        <v>280826</v>
      </c>
      <c r="I30" s="77"/>
    </row>
    <row r="31" spans="1:9">
      <c r="A31" s="116"/>
      <c r="B31" s="111" t="s">
        <v>70</v>
      </c>
      <c r="C31" s="164"/>
      <c r="D31" s="112">
        <v>41457</v>
      </c>
      <c r="E31" s="112">
        <v>176547</v>
      </c>
      <c r="F31" s="112">
        <v>218004.00000000003</v>
      </c>
      <c r="G31" s="112">
        <v>13336</v>
      </c>
      <c r="H31" s="113">
        <f t="shared" si="2"/>
        <v>231340.00000000003</v>
      </c>
      <c r="I31" s="77"/>
    </row>
    <row r="32" spans="1:9">
      <c r="A32" s="116"/>
      <c r="B32" s="111" t="s">
        <v>71</v>
      </c>
      <c r="C32" s="164"/>
      <c r="D32" s="112">
        <v>40022</v>
      </c>
      <c r="E32" s="112">
        <v>199666</v>
      </c>
      <c r="F32" s="112">
        <v>239688.00000000003</v>
      </c>
      <c r="G32" s="112">
        <v>12761</v>
      </c>
      <c r="H32" s="113">
        <f t="shared" si="2"/>
        <v>252449.00000000003</v>
      </c>
      <c r="I32" s="77"/>
    </row>
    <row r="33" spans="1:12">
      <c r="A33" s="116"/>
      <c r="B33" s="111" t="s">
        <v>72</v>
      </c>
      <c r="C33" s="164"/>
      <c r="D33" s="112">
        <v>39276</v>
      </c>
      <c r="E33" s="112">
        <v>229096.99999999997</v>
      </c>
      <c r="F33" s="112">
        <v>268373</v>
      </c>
      <c r="G33" s="112">
        <v>11992</v>
      </c>
      <c r="H33" s="113">
        <f t="shared" si="2"/>
        <v>280365</v>
      </c>
      <c r="I33" s="77"/>
    </row>
    <row r="34" spans="1:12">
      <c r="A34" s="538"/>
      <c r="B34" s="536"/>
      <c r="C34" s="539"/>
      <c r="D34" s="540"/>
      <c r="E34" s="540"/>
      <c r="F34" s="540"/>
      <c r="G34" s="541"/>
      <c r="H34" s="542"/>
      <c r="I34" s="77"/>
    </row>
    <row r="35" spans="1:12">
      <c r="A35" s="132">
        <f>Titles!A23</f>
        <v>2026</v>
      </c>
      <c r="B35" s="133" t="s">
        <v>61</v>
      </c>
      <c r="C35" s="165"/>
      <c r="D35" s="131">
        <v>41656.000000000007</v>
      </c>
      <c r="E35" s="131">
        <v>178323</v>
      </c>
      <c r="F35" s="131">
        <v>219978.99999999997</v>
      </c>
      <c r="G35" s="97">
        <v>20169</v>
      </c>
      <c r="H35" s="128">
        <f t="shared" si="2"/>
        <v>240147.99999999997</v>
      </c>
      <c r="I35" s="77"/>
    </row>
    <row r="36" spans="1:12">
      <c r="A36" s="116"/>
      <c r="B36" s="111" t="s">
        <v>62</v>
      </c>
      <c r="C36" s="164"/>
      <c r="D36" s="112">
        <v>38190</v>
      </c>
      <c r="E36" s="112">
        <v>192310</v>
      </c>
      <c r="F36" s="112">
        <v>230500</v>
      </c>
      <c r="G36" s="112">
        <v>20400.000000000004</v>
      </c>
      <c r="H36" s="113">
        <f t="shared" si="2"/>
        <v>250900</v>
      </c>
      <c r="I36" s="77"/>
    </row>
    <row r="37" spans="1:12">
      <c r="A37" s="116"/>
      <c r="B37" s="111" t="s">
        <v>63</v>
      </c>
      <c r="C37" s="164"/>
      <c r="D37" s="112" t="s">
        <v>50</v>
      </c>
      <c r="E37" s="112" t="s">
        <v>50</v>
      </c>
      <c r="F37" s="112" t="s">
        <v>50</v>
      </c>
      <c r="G37" s="112" t="s">
        <v>50</v>
      </c>
      <c r="H37" s="113" t="str">
        <f t="shared" si="2"/>
        <v/>
      </c>
      <c r="I37" s="77"/>
    </row>
    <row r="38" spans="1:12">
      <c r="A38" s="116"/>
      <c r="B38" s="111" t="s">
        <v>64</v>
      </c>
      <c r="C38" s="164"/>
      <c r="D38" s="112" t="s">
        <v>50</v>
      </c>
      <c r="E38" s="112" t="s">
        <v>50</v>
      </c>
      <c r="F38" s="112" t="s">
        <v>50</v>
      </c>
      <c r="G38" s="112" t="s">
        <v>50</v>
      </c>
      <c r="H38" s="113" t="str">
        <f t="shared" si="2"/>
        <v/>
      </c>
      <c r="I38" s="77"/>
    </row>
    <row r="39" spans="1:12">
      <c r="A39" s="116"/>
      <c r="B39" s="111" t="s">
        <v>65</v>
      </c>
      <c r="C39" s="164"/>
      <c r="D39" s="112" t="s">
        <v>50</v>
      </c>
      <c r="E39" s="112" t="s">
        <v>50</v>
      </c>
      <c r="F39" s="112" t="s">
        <v>50</v>
      </c>
      <c r="G39" s="112" t="s">
        <v>50</v>
      </c>
      <c r="H39" s="113" t="str">
        <f t="shared" si="2"/>
        <v/>
      </c>
      <c r="I39" s="77"/>
    </row>
    <row r="40" spans="1:12">
      <c r="A40" s="116"/>
      <c r="B40" s="111" t="s">
        <v>66</v>
      </c>
      <c r="C40" s="164"/>
      <c r="D40" s="112" t="s">
        <v>50</v>
      </c>
      <c r="E40" s="112" t="s">
        <v>50</v>
      </c>
      <c r="F40" s="112" t="s">
        <v>50</v>
      </c>
      <c r="G40" s="112" t="s">
        <v>50</v>
      </c>
      <c r="H40" s="113" t="str">
        <f t="shared" si="2"/>
        <v/>
      </c>
      <c r="I40" s="77"/>
    </row>
    <row r="41" spans="1:12">
      <c r="A41" s="116"/>
      <c r="B41" s="111" t="s">
        <v>67</v>
      </c>
      <c r="C41" s="164"/>
      <c r="D41" s="112" t="s">
        <v>50</v>
      </c>
      <c r="E41" s="112" t="s">
        <v>50</v>
      </c>
      <c r="F41" s="112" t="s">
        <v>50</v>
      </c>
      <c r="G41" s="112" t="s">
        <v>50</v>
      </c>
      <c r="H41" s="113" t="str">
        <f t="shared" si="2"/>
        <v/>
      </c>
      <c r="I41" s="77"/>
    </row>
    <row r="42" spans="1:12">
      <c r="A42" s="116"/>
      <c r="B42" s="111" t="s">
        <v>68</v>
      </c>
      <c r="C42" s="164"/>
      <c r="D42" s="112" t="s">
        <v>50</v>
      </c>
      <c r="E42" s="112" t="s">
        <v>50</v>
      </c>
      <c r="F42" s="112" t="s">
        <v>50</v>
      </c>
      <c r="G42" s="112" t="s">
        <v>50</v>
      </c>
      <c r="H42" s="113" t="str">
        <f t="shared" si="2"/>
        <v/>
      </c>
      <c r="I42" s="77"/>
    </row>
    <row r="43" spans="1:12">
      <c r="A43" s="116"/>
      <c r="B43" s="111" t="s">
        <v>69</v>
      </c>
      <c r="C43" s="164"/>
      <c r="D43" s="112" t="s">
        <v>50</v>
      </c>
      <c r="E43" s="112" t="s">
        <v>50</v>
      </c>
      <c r="F43" s="112" t="s">
        <v>50</v>
      </c>
      <c r="G43" s="112" t="s">
        <v>50</v>
      </c>
      <c r="H43" s="113" t="str">
        <f t="shared" si="2"/>
        <v/>
      </c>
      <c r="I43" s="77"/>
    </row>
    <row r="44" spans="1:12">
      <c r="A44" s="116"/>
      <c r="B44" s="111" t="s">
        <v>70</v>
      </c>
      <c r="C44" s="164"/>
      <c r="D44" s="112" t="s">
        <v>50</v>
      </c>
      <c r="E44" s="112" t="s">
        <v>50</v>
      </c>
      <c r="F44" s="112" t="s">
        <v>50</v>
      </c>
      <c r="G44" s="112" t="s">
        <v>50</v>
      </c>
      <c r="H44" s="113" t="str">
        <f t="shared" si="2"/>
        <v/>
      </c>
      <c r="I44" s="77"/>
    </row>
    <row r="45" spans="1:12">
      <c r="A45" s="116"/>
      <c r="B45" s="111" t="s">
        <v>71</v>
      </c>
      <c r="C45" s="164"/>
      <c r="D45" s="112" t="s">
        <v>50</v>
      </c>
      <c r="E45" s="112" t="s">
        <v>50</v>
      </c>
      <c r="F45" s="112" t="s">
        <v>50</v>
      </c>
      <c r="G45" s="112" t="s">
        <v>50</v>
      </c>
      <c r="H45" s="113" t="str">
        <f t="shared" si="2"/>
        <v/>
      </c>
      <c r="I45" s="77"/>
    </row>
    <row r="46" spans="1:12" ht="12" thickBot="1">
      <c r="A46" s="87"/>
      <c r="B46" s="88" t="s">
        <v>72</v>
      </c>
      <c r="C46" s="166"/>
      <c r="D46" s="200" t="s">
        <v>50</v>
      </c>
      <c r="E46" s="200" t="s">
        <v>50</v>
      </c>
      <c r="F46" s="200" t="s">
        <v>50</v>
      </c>
      <c r="G46" s="99" t="s">
        <v>50</v>
      </c>
      <c r="H46" s="203" t="str">
        <f t="shared" si="2"/>
        <v/>
      </c>
      <c r="I46" s="77"/>
    </row>
    <row r="47" spans="1:12" s="10" customFormat="1" ht="12" customHeight="1">
      <c r="A47" s="53" t="str">
        <f>Titles!$A$12</f>
        <v>1 Data for 2023, 2024 and 2025 based on 2021 Census Definitions.</v>
      </c>
      <c r="B47" s="84"/>
      <c r="C47" s="356"/>
      <c r="D47" s="317"/>
      <c r="E47" s="54"/>
      <c r="F47" s="317"/>
      <c r="G47" s="317"/>
      <c r="H47" s="357"/>
      <c r="I47" s="227"/>
      <c r="J47" s="227"/>
      <c r="K47" s="299"/>
      <c r="L47" s="11"/>
    </row>
    <row r="48" spans="1:12">
      <c r="A48" s="351" t="s">
        <v>114</v>
      </c>
      <c r="B48" s="306"/>
      <c r="C48" s="306"/>
      <c r="D48" s="306"/>
      <c r="E48" s="350"/>
      <c r="F48" s="304"/>
      <c r="G48" s="304"/>
      <c r="H48" s="304"/>
      <c r="I48" s="77"/>
    </row>
    <row r="49" spans="1:8" s="305" customFormat="1" ht="10.9" customHeight="1">
      <c r="A49" s="318" t="str">
        <f>Titles!$A$10</f>
        <v>Source: CMHC Starts and Completion Survey, Market Absorption Survey</v>
      </c>
      <c r="B49" s="306"/>
      <c r="C49" s="306"/>
      <c r="D49" s="306"/>
      <c r="E49" s="319"/>
      <c r="F49" s="306"/>
      <c r="G49" s="306"/>
      <c r="H49" s="306"/>
    </row>
    <row r="50" spans="1:8" s="305" customFormat="1" ht="10.9" customHeight="1">
      <c r="A50" s="307"/>
      <c r="B50" s="306"/>
      <c r="C50" s="306"/>
      <c r="D50" s="306"/>
      <c r="E50" s="308"/>
      <c r="F50" s="306"/>
      <c r="G50" s="306"/>
      <c r="H50" s="306"/>
    </row>
    <row r="51" spans="1:8" s="305" customFormat="1" ht="10.15" customHeight="1"/>
    <row r="52" spans="1:8" s="305" customFormat="1"/>
    <row r="62" spans="1:8">
      <c r="F62" s="12" t="s">
        <v>105</v>
      </c>
    </row>
  </sheetData>
  <phoneticPr fontId="11" type="noConversion"/>
  <pageMargins left="0.78740157480314965" right="0.51181102362204722" top="0.51181102362204722" bottom="0.51181102362204722" header="0.51181102362204722" footer="0.51181102362204722"/>
  <pageSetup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D34:H34 H24 H23 H22 H25 H26 H27 H28 H29 H30 H31 H32 H33 H46 H35 H36 H37 H38 H39 H40 H41 H42 H43 H44 H45"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7"/>
  <sheetViews>
    <sheetView showGridLines="0" zoomScale="115" zoomScaleNormal="115" workbookViewId="0">
      <pane xSplit="4" ySplit="6" topLeftCell="E7" activePane="bottomRight" state="frozen"/>
      <selection pane="topRight"/>
      <selection pane="bottomLeft"/>
      <selection pane="bottomRight"/>
    </sheetView>
  </sheetViews>
  <sheetFormatPr defaultColWidth="11.53515625" defaultRowHeight="11.5"/>
  <cols>
    <col min="1" max="1" width="14.765625" style="12" customWidth="1"/>
    <col min="2" max="2" width="4.765625" style="582" customWidth="1"/>
    <col min="3" max="3" width="4.23046875" style="12" customWidth="1"/>
    <col min="4" max="4" width="4.765625" style="12" customWidth="1"/>
    <col min="5" max="5" width="7.765625" style="12" customWidth="1"/>
    <col min="6" max="10" width="7.23046875" style="12" customWidth="1"/>
    <col min="11" max="16384" width="11.53515625" style="12"/>
  </cols>
  <sheetData>
    <row r="1" spans="1:11" s="10" customFormat="1" ht="16.149999999999999" customHeight="1">
      <c r="A1" s="415" t="s">
        <v>123</v>
      </c>
      <c r="B1" s="572"/>
      <c r="C1" s="416"/>
      <c r="D1" s="416"/>
      <c r="E1" s="416"/>
      <c r="F1" s="416"/>
      <c r="G1" s="416"/>
      <c r="H1" s="416"/>
      <c r="I1" s="416"/>
      <c r="J1" s="417"/>
      <c r="K1" s="11"/>
    </row>
    <row r="2" spans="1:11" s="10" customFormat="1" ht="16.149999999999999" customHeight="1">
      <c r="A2" s="418" t="s">
        <v>139</v>
      </c>
      <c r="B2" s="573"/>
      <c r="C2" s="419"/>
      <c r="D2" s="419"/>
      <c r="E2" s="419"/>
      <c r="F2" s="419"/>
      <c r="G2" s="419"/>
      <c r="H2" s="419"/>
      <c r="I2" s="419"/>
      <c r="J2" s="420"/>
      <c r="K2" s="11"/>
    </row>
    <row r="3" spans="1:11" s="10" customFormat="1" ht="16.149999999999999" customHeight="1">
      <c r="A3" s="421"/>
      <c r="B3" s="574"/>
      <c r="C3" s="454"/>
      <c r="D3" s="454"/>
      <c r="E3" s="454"/>
      <c r="F3" s="454"/>
      <c r="G3" s="454"/>
      <c r="H3" s="454"/>
      <c r="I3" s="454"/>
      <c r="J3" s="455"/>
      <c r="K3" s="11"/>
    </row>
    <row r="4" spans="1:11" s="10" customFormat="1" ht="16.149999999999999" customHeight="1" thickBot="1">
      <c r="A4" s="424"/>
      <c r="B4" s="575"/>
      <c r="C4" s="456"/>
      <c r="D4" s="456"/>
      <c r="E4" s="456"/>
      <c r="F4" s="456"/>
      <c r="G4" s="456"/>
      <c r="H4" s="456"/>
      <c r="I4" s="456"/>
      <c r="J4" s="457"/>
      <c r="K4" s="11"/>
    </row>
    <row r="5" spans="1:11" ht="14.15" customHeight="1">
      <c r="A5" s="117"/>
      <c r="B5" s="576"/>
      <c r="C5" s="92"/>
      <c r="D5" s="118"/>
      <c r="E5" s="120"/>
      <c r="F5" s="120"/>
      <c r="G5" s="120"/>
      <c r="H5" s="120"/>
      <c r="I5" s="120"/>
      <c r="J5" s="121"/>
      <c r="K5" s="77"/>
    </row>
    <row r="6" spans="1:11" ht="14.15" customHeight="1">
      <c r="A6" s="83" t="s">
        <v>93</v>
      </c>
      <c r="B6" s="577"/>
      <c r="C6" s="89"/>
      <c r="D6" s="100"/>
      <c r="E6" s="95" t="s">
        <v>4</v>
      </c>
      <c r="F6" s="95" t="s">
        <v>31</v>
      </c>
      <c r="G6" s="95" t="s">
        <v>74</v>
      </c>
      <c r="H6" s="95" t="s">
        <v>10</v>
      </c>
      <c r="I6" s="95" t="s">
        <v>73</v>
      </c>
      <c r="J6" s="101" t="s">
        <v>44</v>
      </c>
      <c r="K6" s="77"/>
    </row>
    <row r="7" spans="1:11" ht="13.5">
      <c r="A7" s="642" t="s">
        <v>262</v>
      </c>
      <c r="B7" s="632"/>
      <c r="C7" s="284"/>
      <c r="D7" s="739"/>
      <c r="E7" s="366">
        <v>13998</v>
      </c>
      <c r="F7" s="366">
        <v>41221</v>
      </c>
      <c r="G7" s="366">
        <v>72118</v>
      </c>
      <c r="H7" s="366">
        <v>56787</v>
      </c>
      <c r="I7" s="366">
        <v>43573</v>
      </c>
      <c r="J7" s="366">
        <v>227971</v>
      </c>
      <c r="K7" s="77"/>
    </row>
    <row r="8" spans="1:11" ht="13.5">
      <c r="A8" s="643" t="s">
        <v>267</v>
      </c>
      <c r="B8" s="632"/>
      <c r="C8" s="284"/>
      <c r="D8" s="740"/>
      <c r="E8" s="366">
        <v>16856</v>
      </c>
      <c r="F8" s="366">
        <v>54220</v>
      </c>
      <c r="G8" s="366">
        <v>62561</v>
      </c>
      <c r="H8" s="366">
        <v>66002</v>
      </c>
      <c r="I8" s="366">
        <v>41532</v>
      </c>
      <c r="J8" s="366">
        <v>241171</v>
      </c>
      <c r="K8" s="77"/>
    </row>
    <row r="9" spans="1:11">
      <c r="A9" s="122"/>
      <c r="B9" s="636"/>
      <c r="C9" s="123"/>
      <c r="D9" s="124"/>
      <c r="E9" s="98"/>
      <c r="F9" s="98"/>
      <c r="G9" s="125"/>
      <c r="H9" s="125"/>
      <c r="I9" s="125"/>
      <c r="J9" s="104"/>
      <c r="K9" s="77"/>
    </row>
    <row r="10" spans="1:11" ht="12" customHeight="1">
      <c r="A10" s="195" t="s">
        <v>75</v>
      </c>
      <c r="B10" s="627">
        <v>2024</v>
      </c>
      <c r="C10" s="284" t="s">
        <v>59</v>
      </c>
      <c r="D10" s="295"/>
      <c r="E10" s="131">
        <v>3381</v>
      </c>
      <c r="F10" s="131">
        <v>4054.9999999999995</v>
      </c>
      <c r="G10" s="131">
        <v>13165</v>
      </c>
      <c r="H10" s="131">
        <v>18849</v>
      </c>
      <c r="I10" s="131">
        <v>4482</v>
      </c>
      <c r="J10" s="204">
        <f t="shared" ref="J10:J15" si="0">SUM(E10:I10)</f>
        <v>43932</v>
      </c>
      <c r="K10" s="77"/>
    </row>
    <row r="11" spans="1:11" ht="12" customHeight="1">
      <c r="A11" s="196"/>
      <c r="B11" s="627">
        <v>2024</v>
      </c>
      <c r="C11" s="284" t="s">
        <v>60</v>
      </c>
      <c r="D11" s="285"/>
      <c r="E11" s="112">
        <v>3634</v>
      </c>
      <c r="F11" s="112">
        <v>5633</v>
      </c>
      <c r="G11" s="112">
        <v>12234</v>
      </c>
      <c r="H11" s="112">
        <v>20430.999999999996</v>
      </c>
      <c r="I11" s="112">
        <v>4355</v>
      </c>
      <c r="J11" s="204">
        <f t="shared" si="0"/>
        <v>46287</v>
      </c>
      <c r="K11" s="77"/>
    </row>
    <row r="12" spans="1:11" ht="12" customHeight="1">
      <c r="A12" s="197" t="s">
        <v>47</v>
      </c>
      <c r="B12" s="627">
        <v>2024</v>
      </c>
      <c r="C12" s="284" t="s">
        <v>59</v>
      </c>
      <c r="D12" s="285"/>
      <c r="E12" s="131">
        <v>9055</v>
      </c>
      <c r="F12" s="131">
        <v>36795</v>
      </c>
      <c r="G12" s="131">
        <v>60688</v>
      </c>
      <c r="H12" s="131">
        <v>40007</v>
      </c>
      <c r="I12" s="131">
        <v>35942</v>
      </c>
      <c r="J12" s="204">
        <f t="shared" si="0"/>
        <v>182487</v>
      </c>
      <c r="K12" s="77"/>
    </row>
    <row r="13" spans="1:11" ht="12" customHeight="1">
      <c r="A13" s="196"/>
      <c r="B13" s="627">
        <v>2024</v>
      </c>
      <c r="C13" s="284" t="s">
        <v>60</v>
      </c>
      <c r="D13" s="285"/>
      <c r="E13" s="112">
        <v>8826</v>
      </c>
      <c r="F13" s="112">
        <v>41331</v>
      </c>
      <c r="G13" s="112">
        <v>48693</v>
      </c>
      <c r="H13" s="112">
        <v>42316</v>
      </c>
      <c r="I13" s="112">
        <v>37543.000000000007</v>
      </c>
      <c r="J13" s="204">
        <f t="shared" si="0"/>
        <v>178709</v>
      </c>
      <c r="K13" s="77"/>
    </row>
    <row r="14" spans="1:11" ht="12" customHeight="1">
      <c r="A14" s="198" t="s">
        <v>44</v>
      </c>
      <c r="B14" s="627">
        <v>2024</v>
      </c>
      <c r="C14" s="284" t="s">
        <v>59</v>
      </c>
      <c r="D14" s="285"/>
      <c r="E14" s="131">
        <f t="shared" ref="E14:I15" si="1">SUM(E10,E12)</f>
        <v>12436</v>
      </c>
      <c r="F14" s="131">
        <f t="shared" si="1"/>
        <v>40850</v>
      </c>
      <c r="G14" s="131">
        <f t="shared" si="1"/>
        <v>73853</v>
      </c>
      <c r="H14" s="131">
        <f t="shared" si="1"/>
        <v>58856</v>
      </c>
      <c r="I14" s="131">
        <f t="shared" si="1"/>
        <v>40424</v>
      </c>
      <c r="J14" s="204">
        <f t="shared" si="0"/>
        <v>226419</v>
      </c>
      <c r="K14" s="77"/>
    </row>
    <row r="15" spans="1:11" ht="12" customHeight="1">
      <c r="A15" s="127"/>
      <c r="B15" s="628">
        <v>2024</v>
      </c>
      <c r="C15" s="292" t="s">
        <v>60</v>
      </c>
      <c r="D15" s="293"/>
      <c r="E15" s="136">
        <f t="shared" si="1"/>
        <v>12460</v>
      </c>
      <c r="F15" s="136">
        <f t="shared" si="1"/>
        <v>46964</v>
      </c>
      <c r="G15" s="136">
        <f t="shared" si="1"/>
        <v>60927</v>
      </c>
      <c r="H15" s="136">
        <f t="shared" si="1"/>
        <v>62747</v>
      </c>
      <c r="I15" s="136">
        <f t="shared" si="1"/>
        <v>41898.000000000007</v>
      </c>
      <c r="J15" s="204">
        <f t="shared" si="0"/>
        <v>224996</v>
      </c>
      <c r="K15" s="77"/>
    </row>
    <row r="16" spans="1:11" ht="10.15" customHeight="1">
      <c r="A16" s="141"/>
      <c r="B16" s="629"/>
      <c r="C16" s="630"/>
      <c r="D16" s="162"/>
      <c r="E16" s="97"/>
      <c r="F16" s="97"/>
      <c r="G16" s="97"/>
      <c r="H16" s="97"/>
      <c r="I16" s="97"/>
      <c r="J16" s="205"/>
      <c r="K16" s="77"/>
    </row>
    <row r="17" spans="1:14" ht="12" customHeight="1">
      <c r="A17" s="195" t="s">
        <v>75</v>
      </c>
      <c r="B17" s="627">
        <v>2025</v>
      </c>
      <c r="C17" s="284" t="s">
        <v>59</v>
      </c>
      <c r="D17" s="295"/>
      <c r="E17" s="131">
        <v>3714</v>
      </c>
      <c r="F17" s="131">
        <v>4830</v>
      </c>
      <c r="G17" s="131">
        <v>9362</v>
      </c>
      <c r="H17" s="131">
        <v>18891</v>
      </c>
      <c r="I17" s="131">
        <v>4075</v>
      </c>
      <c r="J17" s="204">
        <f t="shared" ref="J17:J22" si="2">SUM(E17:I17)</f>
        <v>40872</v>
      </c>
      <c r="K17" s="77"/>
    </row>
    <row r="18" spans="1:14" ht="12" customHeight="1">
      <c r="A18" s="196"/>
      <c r="B18" s="627">
        <v>2025</v>
      </c>
      <c r="C18" s="284" t="s">
        <v>60</v>
      </c>
      <c r="D18" s="285"/>
      <c r="E18" s="112">
        <v>3814</v>
      </c>
      <c r="F18" s="112">
        <v>5076</v>
      </c>
      <c r="G18" s="112">
        <v>10285</v>
      </c>
      <c r="H18" s="112">
        <v>16603</v>
      </c>
      <c r="I18" s="131">
        <v>4470</v>
      </c>
      <c r="J18" s="204">
        <f t="shared" si="2"/>
        <v>40248</v>
      </c>
      <c r="K18" s="77"/>
    </row>
    <row r="19" spans="1:14" ht="12" customHeight="1">
      <c r="A19" s="197" t="s">
        <v>47</v>
      </c>
      <c r="B19" s="627">
        <v>2025</v>
      </c>
      <c r="C19" s="284" t="s">
        <v>59</v>
      </c>
      <c r="D19" s="285"/>
      <c r="E19" s="131">
        <v>14594.000000000002</v>
      </c>
      <c r="F19" s="131">
        <v>45945</v>
      </c>
      <c r="G19" s="131">
        <v>62307</v>
      </c>
      <c r="H19" s="131">
        <v>45122</v>
      </c>
      <c r="I19" s="131">
        <v>39804</v>
      </c>
      <c r="J19" s="204">
        <f t="shared" si="2"/>
        <v>207772</v>
      </c>
      <c r="K19" s="77"/>
      <c r="N19" s="77"/>
    </row>
    <row r="20" spans="1:14" ht="12" customHeight="1">
      <c r="A20" s="196"/>
      <c r="B20" s="627">
        <v>2025</v>
      </c>
      <c r="C20" s="284" t="s">
        <v>60</v>
      </c>
      <c r="D20" s="285"/>
      <c r="E20" s="112">
        <v>14179</v>
      </c>
      <c r="F20" s="112">
        <v>56760.999999999993</v>
      </c>
      <c r="G20" s="112">
        <v>53537</v>
      </c>
      <c r="H20" s="112">
        <v>45370.000000000007</v>
      </c>
      <c r="I20" s="112">
        <v>33448</v>
      </c>
      <c r="J20" s="204">
        <f t="shared" si="2"/>
        <v>203295</v>
      </c>
      <c r="K20" s="77"/>
    </row>
    <row r="21" spans="1:14" ht="12" customHeight="1">
      <c r="A21" s="198" t="s">
        <v>44</v>
      </c>
      <c r="B21" s="627">
        <v>2025</v>
      </c>
      <c r="C21" s="284" t="s">
        <v>59</v>
      </c>
      <c r="D21" s="285"/>
      <c r="E21" s="131">
        <f t="shared" ref="E21:I22" si="3">SUM(E17,E19)</f>
        <v>18308</v>
      </c>
      <c r="F21" s="131">
        <f t="shared" si="3"/>
        <v>50775</v>
      </c>
      <c r="G21" s="131">
        <f t="shared" si="3"/>
        <v>71669</v>
      </c>
      <c r="H21" s="131">
        <f t="shared" si="3"/>
        <v>64013</v>
      </c>
      <c r="I21" s="131">
        <f t="shared" si="3"/>
        <v>43879</v>
      </c>
      <c r="J21" s="204">
        <f t="shared" si="2"/>
        <v>248644</v>
      </c>
      <c r="K21" s="77"/>
    </row>
    <row r="22" spans="1:14" ht="12" customHeight="1">
      <c r="A22" s="127"/>
      <c r="B22" s="628">
        <v>2025</v>
      </c>
      <c r="C22" s="292" t="s">
        <v>60</v>
      </c>
      <c r="D22" s="285"/>
      <c r="E22" s="136">
        <f t="shared" si="3"/>
        <v>17993</v>
      </c>
      <c r="F22" s="136">
        <f t="shared" si="3"/>
        <v>61836.999999999993</v>
      </c>
      <c r="G22" s="136">
        <f t="shared" si="3"/>
        <v>63822</v>
      </c>
      <c r="H22" s="136">
        <f t="shared" si="3"/>
        <v>61973.000000000007</v>
      </c>
      <c r="I22" s="136">
        <f t="shared" si="3"/>
        <v>37918</v>
      </c>
      <c r="J22" s="204">
        <f t="shared" si="2"/>
        <v>243543</v>
      </c>
      <c r="K22" s="77"/>
    </row>
    <row r="23" spans="1:14" ht="10.15" customHeight="1">
      <c r="A23" s="141"/>
      <c r="B23" s="631"/>
      <c r="C23" s="170"/>
      <c r="D23" s="171"/>
      <c r="E23" s="98"/>
      <c r="F23" s="98"/>
      <c r="G23" s="98"/>
      <c r="H23" s="98"/>
      <c r="I23" s="98"/>
      <c r="J23" s="205"/>
      <c r="K23" s="77"/>
    </row>
    <row r="24" spans="1:14" ht="12" customHeight="1">
      <c r="A24" s="195" t="s">
        <v>75</v>
      </c>
      <c r="B24" s="632">
        <v>2024</v>
      </c>
      <c r="C24" s="154" t="s">
        <v>265</v>
      </c>
      <c r="D24" s="532"/>
      <c r="E24" s="131">
        <v>3378</v>
      </c>
      <c r="F24" s="131">
        <v>5392</v>
      </c>
      <c r="G24" s="131">
        <v>12321</v>
      </c>
      <c r="H24" s="131">
        <v>19478</v>
      </c>
      <c r="I24" s="131">
        <v>4274</v>
      </c>
      <c r="J24" s="278">
        <f t="shared" ref="J24:J29" si="4">SUM(E24:I24)</f>
        <v>44843</v>
      </c>
      <c r="K24" s="77"/>
    </row>
    <row r="25" spans="1:14" ht="12" customHeight="1">
      <c r="A25" s="196"/>
      <c r="B25" s="632">
        <v>2025</v>
      </c>
      <c r="C25" s="154" t="s">
        <v>268</v>
      </c>
      <c r="D25" s="172"/>
      <c r="E25" s="131">
        <v>3342</v>
      </c>
      <c r="F25" s="131">
        <v>5037</v>
      </c>
      <c r="G25" s="131">
        <v>10692</v>
      </c>
      <c r="H25" s="131">
        <v>20351</v>
      </c>
      <c r="I25" s="131">
        <v>4606</v>
      </c>
      <c r="J25" s="202">
        <f t="shared" si="4"/>
        <v>44028</v>
      </c>
      <c r="K25" s="77"/>
    </row>
    <row r="26" spans="1:14" ht="12" customHeight="1">
      <c r="A26" s="199"/>
      <c r="B26" s="632">
        <v>2025</v>
      </c>
      <c r="C26" s="154" t="s">
        <v>275</v>
      </c>
      <c r="D26" s="172"/>
      <c r="E26" s="131">
        <v>2763</v>
      </c>
      <c r="F26" s="131">
        <v>4752</v>
      </c>
      <c r="G26" s="131">
        <v>9725</v>
      </c>
      <c r="H26" s="131">
        <v>21686.999999999996</v>
      </c>
      <c r="I26" s="131">
        <v>3768</v>
      </c>
      <c r="J26" s="202">
        <f t="shared" si="4"/>
        <v>42695</v>
      </c>
      <c r="K26" s="77"/>
    </row>
    <row r="27" spans="1:14" ht="12" customHeight="1">
      <c r="A27" s="197" t="s">
        <v>47</v>
      </c>
      <c r="B27" s="632">
        <v>2024</v>
      </c>
      <c r="C27" s="154" t="s">
        <v>265</v>
      </c>
      <c r="D27" s="172"/>
      <c r="E27" s="112">
        <v>9252</v>
      </c>
      <c r="F27" s="112">
        <v>36542</v>
      </c>
      <c r="G27" s="112">
        <v>50581</v>
      </c>
      <c r="H27" s="112">
        <v>32405</v>
      </c>
      <c r="I27" s="112">
        <v>41135</v>
      </c>
      <c r="J27" s="202">
        <f t="shared" si="4"/>
        <v>169915</v>
      </c>
      <c r="K27" s="77"/>
    </row>
    <row r="28" spans="1:14" ht="12" customHeight="1">
      <c r="A28" s="196"/>
      <c r="B28" s="632">
        <v>2025</v>
      </c>
      <c r="C28" s="154" t="s">
        <v>268</v>
      </c>
      <c r="D28" s="172"/>
      <c r="E28" s="112">
        <v>9135</v>
      </c>
      <c r="F28" s="112">
        <v>53567</v>
      </c>
      <c r="G28" s="112">
        <v>47010.999999999993</v>
      </c>
      <c r="H28" s="112">
        <v>34411</v>
      </c>
      <c r="I28" s="112">
        <v>32145.000000000004</v>
      </c>
      <c r="J28" s="202">
        <f t="shared" si="4"/>
        <v>176269</v>
      </c>
      <c r="K28" s="77"/>
    </row>
    <row r="29" spans="1:14" ht="12" customHeight="1">
      <c r="A29" s="199"/>
      <c r="B29" s="632">
        <v>2025</v>
      </c>
      <c r="C29" s="154" t="s">
        <v>275</v>
      </c>
      <c r="D29" s="172"/>
      <c r="E29" s="112">
        <v>9594.0000000000018</v>
      </c>
      <c r="F29" s="112">
        <v>43281.000000000007</v>
      </c>
      <c r="G29" s="112">
        <v>46608.000000000007</v>
      </c>
      <c r="H29" s="112">
        <v>43296</v>
      </c>
      <c r="I29" s="112">
        <v>23815</v>
      </c>
      <c r="J29" s="202">
        <f t="shared" si="4"/>
        <v>166594</v>
      </c>
      <c r="K29" s="77"/>
    </row>
    <row r="30" spans="1:14" ht="12" customHeight="1">
      <c r="A30" s="198" t="s">
        <v>44</v>
      </c>
      <c r="B30" s="632">
        <v>2024</v>
      </c>
      <c r="C30" s="154" t="s">
        <v>265</v>
      </c>
      <c r="D30" s="172"/>
      <c r="E30" s="135">
        <f>SUM(E24,E27)</f>
        <v>12630</v>
      </c>
      <c r="F30" s="135">
        <f t="shared" ref="E30:J32" si="5">SUM(F24,F27)</f>
        <v>41934</v>
      </c>
      <c r="G30" s="135">
        <f t="shared" si="5"/>
        <v>62902</v>
      </c>
      <c r="H30" s="135">
        <f t="shared" si="5"/>
        <v>51883</v>
      </c>
      <c r="I30" s="135">
        <f t="shared" si="5"/>
        <v>45409</v>
      </c>
      <c r="J30" s="202">
        <f t="shared" si="5"/>
        <v>214758</v>
      </c>
      <c r="K30" s="77"/>
    </row>
    <row r="31" spans="1:14" ht="12" customHeight="1">
      <c r="A31" s="198"/>
      <c r="B31" s="632">
        <v>2025</v>
      </c>
      <c r="C31" s="154" t="s">
        <v>268</v>
      </c>
      <c r="D31" s="172"/>
      <c r="E31" s="135">
        <f t="shared" si="5"/>
        <v>12477</v>
      </c>
      <c r="F31" s="135">
        <f t="shared" si="5"/>
        <v>58604</v>
      </c>
      <c r="G31" s="135">
        <f t="shared" si="5"/>
        <v>57702.999999999993</v>
      </c>
      <c r="H31" s="135">
        <f t="shared" si="5"/>
        <v>54762</v>
      </c>
      <c r="I31" s="135">
        <f t="shared" si="5"/>
        <v>36751</v>
      </c>
      <c r="J31" s="202">
        <f t="shared" si="5"/>
        <v>220297</v>
      </c>
      <c r="K31" s="77"/>
    </row>
    <row r="32" spans="1:14" ht="12" customHeight="1">
      <c r="A32" s="138"/>
      <c r="B32" s="632">
        <v>2025</v>
      </c>
      <c r="C32" s="154" t="s">
        <v>275</v>
      </c>
      <c r="D32" s="172"/>
      <c r="E32" s="140">
        <f t="shared" si="5"/>
        <v>12357.000000000002</v>
      </c>
      <c r="F32" s="140">
        <f t="shared" si="5"/>
        <v>48033.000000000007</v>
      </c>
      <c r="G32" s="140">
        <f t="shared" si="5"/>
        <v>56333.000000000007</v>
      </c>
      <c r="H32" s="140">
        <f t="shared" si="5"/>
        <v>64983</v>
      </c>
      <c r="I32" s="140">
        <f t="shared" si="5"/>
        <v>27583</v>
      </c>
      <c r="J32" s="206">
        <f t="shared" si="5"/>
        <v>209289</v>
      </c>
      <c r="K32" s="77"/>
    </row>
    <row r="33" spans="1:12" ht="10.15" customHeight="1">
      <c r="A33" s="126"/>
      <c r="B33" s="633"/>
      <c r="C33" s="123"/>
      <c r="D33" s="173"/>
      <c r="E33" s="125"/>
      <c r="F33" s="125"/>
      <c r="G33" s="125"/>
      <c r="H33" s="125"/>
      <c r="I33" s="125"/>
      <c r="J33" s="104"/>
      <c r="K33" s="77"/>
    </row>
    <row r="34" spans="1:12" ht="12" customHeight="1">
      <c r="A34" s="195" t="s">
        <v>75</v>
      </c>
      <c r="B34" s="632">
        <v>2025</v>
      </c>
      <c r="C34" s="154" t="s">
        <v>265</v>
      </c>
      <c r="D34" s="532"/>
      <c r="E34" s="131">
        <v>3821</v>
      </c>
      <c r="F34" s="131">
        <v>4645</v>
      </c>
      <c r="G34" s="131">
        <v>9585</v>
      </c>
      <c r="H34" s="131">
        <v>16729</v>
      </c>
      <c r="I34" s="131">
        <v>4496</v>
      </c>
      <c r="J34" s="128">
        <f t="shared" ref="J34:J39" si="6">SUM(E34:I34)</f>
        <v>39276</v>
      </c>
      <c r="K34" s="77"/>
    </row>
    <row r="35" spans="1:12" ht="12" customHeight="1">
      <c r="A35" s="196"/>
      <c r="B35" s="632">
        <v>2026</v>
      </c>
      <c r="C35" s="154" t="s">
        <v>268</v>
      </c>
      <c r="D35" s="172"/>
      <c r="E35" s="112">
        <v>4083.9999999999995</v>
      </c>
      <c r="F35" s="131">
        <v>5893</v>
      </c>
      <c r="G35" s="131">
        <v>10788</v>
      </c>
      <c r="H35" s="131">
        <v>16112.000000000002</v>
      </c>
      <c r="I35" s="131">
        <v>4779</v>
      </c>
      <c r="J35" s="113">
        <f>SUM(E35:I35)</f>
        <v>41656</v>
      </c>
      <c r="K35" s="77"/>
    </row>
    <row r="36" spans="1:12" ht="12" customHeight="1">
      <c r="A36" s="199"/>
      <c r="B36" s="632">
        <v>2026</v>
      </c>
      <c r="C36" s="154" t="s">
        <v>275</v>
      </c>
      <c r="D36" s="172"/>
      <c r="E36" s="112">
        <v>2366</v>
      </c>
      <c r="F36" s="131">
        <v>5208</v>
      </c>
      <c r="G36" s="131">
        <v>7583</v>
      </c>
      <c r="H36" s="131">
        <v>18885</v>
      </c>
      <c r="I36" s="131">
        <v>4148</v>
      </c>
      <c r="J36" s="113">
        <f>SUM(E36:I36)</f>
        <v>38190</v>
      </c>
      <c r="K36" s="77"/>
    </row>
    <row r="37" spans="1:12" ht="12" customHeight="1">
      <c r="A37" s="197" t="s">
        <v>47</v>
      </c>
      <c r="B37" s="632">
        <v>2025</v>
      </c>
      <c r="C37" s="154" t="s">
        <v>265</v>
      </c>
      <c r="D37" s="172"/>
      <c r="E37" s="112">
        <v>13674</v>
      </c>
      <c r="F37" s="112">
        <v>55928.000000000007</v>
      </c>
      <c r="G37" s="112">
        <v>84266</v>
      </c>
      <c r="H37" s="112">
        <v>33392</v>
      </c>
      <c r="I37" s="112">
        <v>41837</v>
      </c>
      <c r="J37" s="113">
        <f t="shared" si="6"/>
        <v>229097</v>
      </c>
      <c r="K37" s="77"/>
    </row>
    <row r="38" spans="1:12" ht="12" customHeight="1">
      <c r="A38" s="196"/>
      <c r="B38" s="632">
        <v>2026</v>
      </c>
      <c r="C38" s="154" t="s">
        <v>268</v>
      </c>
      <c r="D38" s="172"/>
      <c r="E38" s="112">
        <v>8841.0000000000018</v>
      </c>
      <c r="F38" s="112">
        <v>34591</v>
      </c>
      <c r="G38" s="112">
        <v>52440</v>
      </c>
      <c r="H38" s="112">
        <v>35855.999999999993</v>
      </c>
      <c r="I38" s="112">
        <v>46595</v>
      </c>
      <c r="J38" s="113">
        <f t="shared" si="6"/>
        <v>178323</v>
      </c>
      <c r="K38" s="77"/>
    </row>
    <row r="39" spans="1:12" ht="12" customHeight="1">
      <c r="A39" s="199"/>
      <c r="B39" s="632">
        <v>2026</v>
      </c>
      <c r="C39" s="154" t="s">
        <v>275</v>
      </c>
      <c r="D39" s="172"/>
      <c r="E39" s="112">
        <v>10328</v>
      </c>
      <c r="F39" s="112">
        <v>49939</v>
      </c>
      <c r="G39" s="112">
        <v>56067</v>
      </c>
      <c r="H39" s="112">
        <v>37422</v>
      </c>
      <c r="I39" s="112">
        <v>38554</v>
      </c>
      <c r="J39" s="113">
        <f t="shared" si="6"/>
        <v>192310</v>
      </c>
      <c r="K39" s="77"/>
    </row>
    <row r="40" spans="1:12" ht="12" customHeight="1">
      <c r="A40" s="198" t="s">
        <v>44</v>
      </c>
      <c r="B40" s="632">
        <v>2025</v>
      </c>
      <c r="C40" s="154" t="s">
        <v>265</v>
      </c>
      <c r="D40" s="172"/>
      <c r="E40" s="135">
        <f t="shared" ref="E40:J42" si="7">SUM(E34,E37)</f>
        <v>17495</v>
      </c>
      <c r="F40" s="135">
        <f t="shared" si="7"/>
        <v>60573.000000000007</v>
      </c>
      <c r="G40" s="135">
        <f t="shared" si="7"/>
        <v>93851</v>
      </c>
      <c r="H40" s="135">
        <f t="shared" si="7"/>
        <v>50121</v>
      </c>
      <c r="I40" s="135">
        <f t="shared" si="7"/>
        <v>46333</v>
      </c>
      <c r="J40" s="202">
        <f t="shared" si="7"/>
        <v>268373</v>
      </c>
      <c r="K40" s="77"/>
    </row>
    <row r="41" spans="1:12" ht="12" customHeight="1">
      <c r="A41" s="198"/>
      <c r="B41" s="632">
        <v>2026</v>
      </c>
      <c r="C41" s="154" t="s">
        <v>268</v>
      </c>
      <c r="D41" s="172"/>
      <c r="E41" s="135">
        <f t="shared" si="7"/>
        <v>12925.000000000002</v>
      </c>
      <c r="F41" s="135">
        <f t="shared" si="7"/>
        <v>40484</v>
      </c>
      <c r="G41" s="135">
        <f t="shared" si="7"/>
        <v>63228</v>
      </c>
      <c r="H41" s="135">
        <f t="shared" si="7"/>
        <v>51967.999999999993</v>
      </c>
      <c r="I41" s="135">
        <f t="shared" si="7"/>
        <v>51374</v>
      </c>
      <c r="J41" s="202">
        <f t="shared" si="7"/>
        <v>219979</v>
      </c>
      <c r="K41" s="77"/>
    </row>
    <row r="42" spans="1:12" ht="12" customHeight="1" thickBot="1">
      <c r="A42" s="87"/>
      <c r="B42" s="634">
        <v>2026</v>
      </c>
      <c r="C42" s="154" t="s">
        <v>275</v>
      </c>
      <c r="D42" s="375"/>
      <c r="E42" s="201">
        <f t="shared" si="7"/>
        <v>12694</v>
      </c>
      <c r="F42" s="201">
        <f>SUM(F36,F39)</f>
        <v>55147</v>
      </c>
      <c r="G42" s="201">
        <f t="shared" si="7"/>
        <v>63650</v>
      </c>
      <c r="H42" s="201">
        <f t="shared" si="7"/>
        <v>56307</v>
      </c>
      <c r="I42" s="201">
        <f t="shared" si="7"/>
        <v>42702</v>
      </c>
      <c r="J42" s="203">
        <f t="shared" si="7"/>
        <v>230500</v>
      </c>
      <c r="K42" s="77"/>
    </row>
    <row r="43" spans="1:12" s="10" customFormat="1" ht="12" customHeight="1">
      <c r="A43" s="53" t="str">
        <f>Titles!$A$12</f>
        <v>1 Data for 2023, 2024 and 2025 based on 2021 Census Definitions.</v>
      </c>
      <c r="B43" s="578"/>
      <c r="C43" s="356"/>
      <c r="D43" s="317"/>
      <c r="E43" s="54"/>
      <c r="F43" s="317"/>
      <c r="G43" s="317"/>
      <c r="H43" s="357"/>
      <c r="I43" s="77"/>
      <c r="J43" s="12"/>
      <c r="K43" s="299"/>
      <c r="L43" s="11"/>
    </row>
    <row r="44" spans="1:12">
      <c r="A44" s="351" t="s">
        <v>114</v>
      </c>
      <c r="B44" s="579"/>
      <c r="C44" s="306"/>
      <c r="D44" s="306"/>
      <c r="E44" s="350"/>
      <c r="F44" s="304"/>
      <c r="G44" s="304"/>
      <c r="H44" s="304"/>
      <c r="I44" s="305"/>
      <c r="J44" s="305"/>
    </row>
    <row r="45" spans="1:12" s="305" customFormat="1" ht="10.9" customHeight="1">
      <c r="A45" s="318" t="str">
        <f>Titles!$A$10</f>
        <v>Source: CMHC Starts and Completion Survey, Market Absorption Survey</v>
      </c>
      <c r="B45" s="579"/>
      <c r="C45" s="306"/>
      <c r="D45" s="306"/>
      <c r="E45" s="319"/>
      <c r="F45" s="306"/>
      <c r="G45" s="306"/>
      <c r="H45" s="306"/>
    </row>
    <row r="46" spans="1:12" s="305" customFormat="1" ht="10.9" customHeight="1">
      <c r="B46" s="580"/>
    </row>
    <row r="47" spans="1:12" s="349" customFormat="1" ht="12" customHeight="1">
      <c r="A47" s="318"/>
      <c r="B47" s="581"/>
      <c r="C47" s="13"/>
      <c r="D47" s="13"/>
      <c r="E47" s="13"/>
      <c r="F47" s="319"/>
      <c r="G47" s="320"/>
      <c r="H47" s="13"/>
      <c r="I47" s="13"/>
      <c r="J47" s="13"/>
    </row>
  </sheetData>
  <phoneticPr fontId="11" type="noConversion"/>
  <pageMargins left="0.78740157480314965" right="0.51181102362204722" top="0.51181102362204722" bottom="0.51181102362204722" header="0.51181102362204722" footer="0.51181102362204722"/>
  <pageSetup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J9 E9 F9 H9 I9" unlocked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61"/>
  <sheetViews>
    <sheetView showGridLines="0" showZeros="0" zoomScale="115" zoomScaleNormal="115" workbookViewId="0">
      <pane xSplit="3" ySplit="6" topLeftCell="D7" activePane="bottomRight" state="frozen"/>
      <selection pane="topRight"/>
      <selection pane="bottomLeft"/>
      <selection pane="bottomRight"/>
    </sheetView>
  </sheetViews>
  <sheetFormatPr defaultColWidth="11.53515625" defaultRowHeight="15.5"/>
  <cols>
    <col min="1" max="1" width="6.23046875" customWidth="1"/>
    <col min="2" max="3" width="8.23046875" customWidth="1"/>
    <col min="4" max="9" width="8.4609375" customWidth="1"/>
  </cols>
  <sheetData>
    <row r="1" spans="1:10" ht="16.149999999999999" customHeight="1">
      <c r="A1" s="415" t="s">
        <v>124</v>
      </c>
      <c r="B1" s="416"/>
      <c r="C1" s="416"/>
      <c r="D1" s="416"/>
      <c r="E1" s="416"/>
      <c r="F1" s="416"/>
      <c r="G1" s="416"/>
      <c r="H1" s="416"/>
      <c r="I1" s="417"/>
    </row>
    <row r="2" spans="1:10" ht="16.149999999999999" customHeight="1">
      <c r="A2" s="418" t="s">
        <v>140</v>
      </c>
      <c r="B2" s="419"/>
      <c r="C2" s="419"/>
      <c r="D2" s="419"/>
      <c r="E2" s="419"/>
      <c r="F2" s="419"/>
      <c r="G2" s="419"/>
      <c r="H2" s="419"/>
      <c r="I2" s="420"/>
    </row>
    <row r="3" spans="1:10" ht="16.149999999999999" customHeight="1">
      <c r="A3" s="421"/>
      <c r="B3" s="422"/>
      <c r="C3" s="422"/>
      <c r="D3" s="422"/>
      <c r="E3" s="422"/>
      <c r="F3" s="422"/>
      <c r="G3" s="422"/>
      <c r="H3" s="422"/>
      <c r="I3" s="423"/>
    </row>
    <row r="4" spans="1:10" ht="16.149999999999999" customHeight="1" thickBot="1">
      <c r="A4" s="424"/>
      <c r="B4" s="425"/>
      <c r="C4" s="425"/>
      <c r="D4" s="425"/>
      <c r="E4" s="425"/>
      <c r="F4" s="425"/>
      <c r="G4" s="425"/>
      <c r="H4" s="425"/>
      <c r="I4" s="426"/>
    </row>
    <row r="5" spans="1:10" ht="12" customHeight="1">
      <c r="A5" s="81"/>
      <c r="B5" s="89"/>
      <c r="C5" s="100"/>
      <c r="D5" s="120"/>
      <c r="E5" s="120"/>
      <c r="F5" s="120"/>
      <c r="G5" s="120"/>
      <c r="H5" s="120"/>
      <c r="I5" s="121"/>
    </row>
    <row r="6" spans="1:10" ht="12" customHeight="1">
      <c r="A6" s="144" t="s">
        <v>93</v>
      </c>
      <c r="B6" s="139"/>
      <c r="C6" s="145"/>
      <c r="D6" s="146" t="s">
        <v>4</v>
      </c>
      <c r="E6" s="146" t="s">
        <v>31</v>
      </c>
      <c r="F6" s="146" t="s">
        <v>74</v>
      </c>
      <c r="G6" s="146" t="s">
        <v>10</v>
      </c>
      <c r="H6" s="146" t="s">
        <v>73</v>
      </c>
      <c r="I6" s="147" t="s">
        <v>44</v>
      </c>
    </row>
    <row r="7" spans="1:10" ht="12" customHeight="1">
      <c r="A7" s="642" t="s">
        <v>262</v>
      </c>
      <c r="B7" s="741"/>
      <c r="C7" s="130"/>
      <c r="D7" s="188">
        <v>13998</v>
      </c>
      <c r="E7" s="188">
        <v>41221</v>
      </c>
      <c r="F7" s="188">
        <v>72118</v>
      </c>
      <c r="G7" s="188">
        <v>56787</v>
      </c>
      <c r="H7" s="188">
        <v>43573</v>
      </c>
      <c r="I7" s="215">
        <v>227971</v>
      </c>
      <c r="J7" s="148"/>
    </row>
    <row r="8" spans="1:10" ht="12" customHeight="1">
      <c r="A8" s="643" t="s">
        <v>267</v>
      </c>
      <c r="B8" s="637"/>
      <c r="C8" s="742"/>
      <c r="D8" s="366">
        <v>16856</v>
      </c>
      <c r="E8" s="366">
        <v>54220</v>
      </c>
      <c r="F8" s="366">
        <v>62561</v>
      </c>
      <c r="G8" s="366">
        <v>66002</v>
      </c>
      <c r="H8" s="366">
        <v>41532</v>
      </c>
      <c r="I8" s="310">
        <v>241171</v>
      </c>
      <c r="J8" s="148"/>
    </row>
    <row r="9" spans="1:10" ht="12" customHeight="1">
      <c r="A9" s="638">
        <v>2024</v>
      </c>
      <c r="B9" s="150" t="s">
        <v>57</v>
      </c>
      <c r="C9" s="159"/>
      <c r="D9" s="108">
        <v>15603.000000000002</v>
      </c>
      <c r="E9" s="108">
        <v>35511</v>
      </c>
      <c r="F9" s="108">
        <v>78452</v>
      </c>
      <c r="G9" s="108">
        <v>51274</v>
      </c>
      <c r="H9" s="208">
        <v>48329</v>
      </c>
      <c r="I9" s="208">
        <v>229169</v>
      </c>
      <c r="J9" s="148"/>
    </row>
    <row r="10" spans="1:10" ht="12" customHeight="1">
      <c r="A10" s="271"/>
      <c r="B10" s="134" t="s">
        <v>58</v>
      </c>
      <c r="C10" s="160"/>
      <c r="D10" s="135">
        <v>15544</v>
      </c>
      <c r="E10" s="135">
        <v>40155</v>
      </c>
      <c r="F10" s="135">
        <v>73297</v>
      </c>
      <c r="G10" s="135">
        <v>54090</v>
      </c>
      <c r="H10" s="209">
        <v>41531.000000000007</v>
      </c>
      <c r="I10" s="209">
        <v>224617</v>
      </c>
      <c r="J10" s="148"/>
    </row>
    <row r="11" spans="1:10" ht="12" customHeight="1">
      <c r="A11" s="271"/>
      <c r="B11" s="134" t="s">
        <v>59</v>
      </c>
      <c r="C11" s="160"/>
      <c r="D11" s="135">
        <v>12436</v>
      </c>
      <c r="E11" s="135">
        <v>40850</v>
      </c>
      <c r="F11" s="135">
        <v>73853.000000000015</v>
      </c>
      <c r="G11" s="135">
        <v>58855.999999999993</v>
      </c>
      <c r="H11" s="209">
        <v>40424</v>
      </c>
      <c r="I11" s="209">
        <v>226419</v>
      </c>
      <c r="J11" s="148"/>
    </row>
    <row r="12" spans="1:10" ht="12" customHeight="1">
      <c r="A12" s="272"/>
      <c r="B12" s="151" t="s">
        <v>60</v>
      </c>
      <c r="C12" s="178"/>
      <c r="D12" s="135">
        <v>12460</v>
      </c>
      <c r="E12" s="135">
        <v>46964</v>
      </c>
      <c r="F12" s="135">
        <v>60927</v>
      </c>
      <c r="G12" s="135">
        <v>62747</v>
      </c>
      <c r="H12" s="209">
        <v>41898</v>
      </c>
      <c r="I12" s="209">
        <v>224996</v>
      </c>
      <c r="J12" s="148"/>
    </row>
    <row r="13" spans="1:10" ht="12" customHeight="1">
      <c r="A13" s="106">
        <v>2025</v>
      </c>
      <c r="B13" s="150" t="s">
        <v>57</v>
      </c>
      <c r="C13" s="159"/>
      <c r="D13" s="180">
        <v>13912</v>
      </c>
      <c r="E13" s="180">
        <v>53252</v>
      </c>
      <c r="F13" s="180">
        <v>49916</v>
      </c>
      <c r="G13" s="180">
        <v>63407</v>
      </c>
      <c r="H13" s="180">
        <v>38653</v>
      </c>
      <c r="I13" s="207">
        <v>219140</v>
      </c>
      <c r="J13" s="148"/>
    </row>
    <row r="14" spans="1:10" ht="12" customHeight="1">
      <c r="A14" s="271"/>
      <c r="B14" s="134" t="s">
        <v>58</v>
      </c>
      <c r="C14" s="160"/>
      <c r="D14" s="112">
        <v>17106</v>
      </c>
      <c r="E14" s="112">
        <v>50623</v>
      </c>
      <c r="F14" s="112">
        <v>65372</v>
      </c>
      <c r="G14" s="112">
        <v>75030.999999999985</v>
      </c>
      <c r="H14" s="112">
        <v>45577.999999999993</v>
      </c>
      <c r="I14" s="204">
        <v>253710</v>
      </c>
      <c r="J14" s="148"/>
    </row>
    <row r="15" spans="1:10" ht="12" customHeight="1">
      <c r="A15" s="271"/>
      <c r="B15" s="134" t="s">
        <v>59</v>
      </c>
      <c r="C15" s="160"/>
      <c r="D15" s="131">
        <v>18308</v>
      </c>
      <c r="E15" s="131">
        <v>50775</v>
      </c>
      <c r="F15" s="131">
        <v>71669</v>
      </c>
      <c r="G15" s="131">
        <v>64012.999999999993</v>
      </c>
      <c r="H15" s="131">
        <v>43879.000000000007</v>
      </c>
      <c r="I15" s="204">
        <v>248644</v>
      </c>
      <c r="J15" s="148"/>
    </row>
    <row r="16" spans="1:10" ht="12" customHeight="1">
      <c r="A16" s="272"/>
      <c r="B16" s="151" t="s">
        <v>60</v>
      </c>
      <c r="C16" s="178"/>
      <c r="D16" s="136">
        <v>17993</v>
      </c>
      <c r="E16" s="136">
        <v>61836.999999999993</v>
      </c>
      <c r="F16" s="136">
        <v>63821.999999999993</v>
      </c>
      <c r="G16" s="136">
        <v>61973</v>
      </c>
      <c r="H16" s="136">
        <v>37918</v>
      </c>
      <c r="I16" s="204">
        <v>243543</v>
      </c>
      <c r="J16" s="148"/>
    </row>
    <row r="17" spans="1:10" ht="12" customHeight="1">
      <c r="A17" s="638">
        <v>2026</v>
      </c>
      <c r="B17" s="150" t="s">
        <v>57</v>
      </c>
      <c r="C17" s="159"/>
      <c r="D17" s="180"/>
      <c r="E17" s="180"/>
      <c r="F17" s="180"/>
      <c r="G17" s="180"/>
      <c r="H17" s="180"/>
      <c r="I17" s="207"/>
      <c r="J17" s="148"/>
    </row>
    <row r="18" spans="1:10" ht="12" customHeight="1">
      <c r="A18" s="271"/>
      <c r="B18" s="134" t="s">
        <v>58</v>
      </c>
      <c r="C18" s="160"/>
      <c r="D18" s="112"/>
      <c r="E18" s="112"/>
      <c r="F18" s="112"/>
      <c r="G18" s="112"/>
      <c r="H18" s="112"/>
      <c r="I18" s="204"/>
      <c r="J18" s="148"/>
    </row>
    <row r="19" spans="1:10" ht="12" customHeight="1">
      <c r="A19" s="271"/>
      <c r="B19" s="134" t="s">
        <v>59</v>
      </c>
      <c r="C19" s="160"/>
      <c r="D19" s="131"/>
      <c r="E19" s="131"/>
      <c r="F19" s="131"/>
      <c r="G19" s="131"/>
      <c r="H19" s="131"/>
      <c r="I19" s="204"/>
      <c r="J19" s="148"/>
    </row>
    <row r="20" spans="1:10" ht="12" customHeight="1">
      <c r="A20" s="273"/>
      <c r="B20" s="152" t="s">
        <v>60</v>
      </c>
      <c r="C20" s="162"/>
      <c r="D20" s="136"/>
      <c r="E20" s="136"/>
      <c r="F20" s="136"/>
      <c r="G20" s="136"/>
      <c r="H20" s="136"/>
      <c r="I20" s="204"/>
      <c r="J20" s="148"/>
    </row>
    <row r="21" spans="1:10" ht="12" customHeight="1">
      <c r="A21" s="106">
        <v>2024</v>
      </c>
      <c r="B21" s="107" t="s">
        <v>61</v>
      </c>
      <c r="C21" s="163"/>
      <c r="D21" s="180">
        <v>12041.999999999998</v>
      </c>
      <c r="E21" s="180">
        <v>36988</v>
      </c>
      <c r="F21" s="180">
        <v>79330.999999999985</v>
      </c>
      <c r="G21" s="180">
        <v>47909</v>
      </c>
      <c r="H21" s="180">
        <v>28841</v>
      </c>
      <c r="I21" s="207">
        <f>IF(SUM(D21:H21)=0,"",SUM(D21:H21))</f>
        <v>205111</v>
      </c>
      <c r="J21" s="148"/>
    </row>
    <row r="22" spans="1:10" ht="12" customHeight="1">
      <c r="A22" s="271"/>
      <c r="B22" s="111" t="s">
        <v>62</v>
      </c>
      <c r="C22" s="164"/>
      <c r="D22" s="135">
        <v>17841</v>
      </c>
      <c r="E22" s="135">
        <v>38179</v>
      </c>
      <c r="F22" s="135">
        <v>85766</v>
      </c>
      <c r="G22" s="135">
        <v>54593.999999999993</v>
      </c>
      <c r="H22" s="135">
        <v>44738</v>
      </c>
      <c r="I22" s="202">
        <f t="shared" ref="I22:I56" si="0">IF(SUM(D22:H22)=0,"",SUM(D22:H22))</f>
        <v>241118</v>
      </c>
      <c r="J22" s="148"/>
    </row>
    <row r="23" spans="1:10" ht="12" customHeight="1">
      <c r="A23" s="274"/>
      <c r="B23" s="154" t="s">
        <v>63</v>
      </c>
      <c r="C23" s="164"/>
      <c r="D23" s="112">
        <v>10187.000000000002</v>
      </c>
      <c r="E23" s="112">
        <v>34759</v>
      </c>
      <c r="F23" s="112">
        <v>70319</v>
      </c>
      <c r="G23" s="112">
        <v>46760.000000000007</v>
      </c>
      <c r="H23" s="112">
        <v>58913</v>
      </c>
      <c r="I23" s="209">
        <f t="shared" si="0"/>
        <v>220938</v>
      </c>
      <c r="J23" s="148"/>
    </row>
    <row r="24" spans="1:10" ht="12" customHeight="1">
      <c r="A24" s="275"/>
      <c r="B24" s="111" t="s">
        <v>64</v>
      </c>
      <c r="C24" s="164"/>
      <c r="D24" s="112">
        <v>11509</v>
      </c>
      <c r="E24" s="112">
        <v>28887</v>
      </c>
      <c r="F24" s="112">
        <v>71473.999999999985</v>
      </c>
      <c r="G24" s="112">
        <v>56966</v>
      </c>
      <c r="H24" s="112">
        <v>52864</v>
      </c>
      <c r="I24" s="209">
        <f t="shared" si="0"/>
        <v>221700</v>
      </c>
      <c r="J24" s="148"/>
    </row>
    <row r="25" spans="1:10" ht="12" customHeight="1">
      <c r="A25" s="271"/>
      <c r="B25" s="111" t="s">
        <v>65</v>
      </c>
      <c r="C25" s="164"/>
      <c r="D25" s="112">
        <v>17580</v>
      </c>
      <c r="E25" s="112">
        <v>41384</v>
      </c>
      <c r="F25" s="112">
        <v>85086.999999999985</v>
      </c>
      <c r="G25" s="112">
        <v>52476</v>
      </c>
      <c r="H25" s="112">
        <v>44376</v>
      </c>
      <c r="I25" s="209">
        <f t="shared" si="0"/>
        <v>240903</v>
      </c>
      <c r="J25" s="148"/>
    </row>
    <row r="26" spans="1:10" ht="12" customHeight="1">
      <c r="A26" s="274"/>
      <c r="B26" s="154" t="s">
        <v>66</v>
      </c>
      <c r="C26" s="164"/>
      <c r="D26" s="112">
        <v>17805</v>
      </c>
      <c r="E26" s="112">
        <v>52287</v>
      </c>
      <c r="F26" s="112">
        <v>64541</v>
      </c>
      <c r="G26" s="112">
        <v>54836</v>
      </c>
      <c r="H26" s="112">
        <v>38869</v>
      </c>
      <c r="I26" s="209">
        <f t="shared" si="0"/>
        <v>228338</v>
      </c>
      <c r="J26" s="148"/>
    </row>
    <row r="27" spans="1:10" ht="12" customHeight="1">
      <c r="A27" s="274"/>
      <c r="B27" s="111" t="s">
        <v>67</v>
      </c>
      <c r="C27" s="164"/>
      <c r="D27" s="112">
        <v>12427</v>
      </c>
      <c r="E27" s="112">
        <v>35629.999999999993</v>
      </c>
      <c r="F27" s="112">
        <v>103803</v>
      </c>
      <c r="G27" s="112">
        <v>65410.000000000007</v>
      </c>
      <c r="H27" s="112">
        <v>45906</v>
      </c>
      <c r="I27" s="209">
        <f t="shared" si="0"/>
        <v>263176</v>
      </c>
      <c r="J27" s="148"/>
    </row>
    <row r="28" spans="1:10" ht="12" customHeight="1">
      <c r="A28" s="271"/>
      <c r="B28" s="111" t="s">
        <v>68</v>
      </c>
      <c r="C28" s="164"/>
      <c r="D28" s="135">
        <v>13028</v>
      </c>
      <c r="E28" s="135">
        <v>43471</v>
      </c>
      <c r="F28" s="135">
        <v>58071</v>
      </c>
      <c r="G28" s="135">
        <v>56437</v>
      </c>
      <c r="H28" s="135">
        <v>31467</v>
      </c>
      <c r="I28" s="202">
        <f t="shared" si="0"/>
        <v>202474</v>
      </c>
      <c r="J28" s="148"/>
    </row>
    <row r="29" spans="1:10" ht="12" customHeight="1">
      <c r="A29" s="271"/>
      <c r="B29" s="154" t="s">
        <v>69</v>
      </c>
      <c r="C29" s="164"/>
      <c r="D29" s="112">
        <v>12981</v>
      </c>
      <c r="E29" s="112">
        <v>43859</v>
      </c>
      <c r="F29" s="112">
        <v>61569.999999999993</v>
      </c>
      <c r="G29" s="112">
        <v>55173</v>
      </c>
      <c r="H29" s="112">
        <v>40644.999999999993</v>
      </c>
      <c r="I29" s="209">
        <f t="shared" si="0"/>
        <v>214228</v>
      </c>
      <c r="J29" s="148"/>
    </row>
    <row r="30" spans="1:10" ht="12" customHeight="1">
      <c r="A30" s="271"/>
      <c r="B30" s="154" t="s">
        <v>70</v>
      </c>
      <c r="C30" s="164"/>
      <c r="D30" s="112">
        <v>11334</v>
      </c>
      <c r="E30" s="112">
        <v>40245</v>
      </c>
      <c r="F30" s="112">
        <v>63184</v>
      </c>
      <c r="G30" s="112">
        <v>65144.000000000007</v>
      </c>
      <c r="H30" s="112">
        <v>41409</v>
      </c>
      <c r="I30" s="209">
        <f t="shared" si="0"/>
        <v>221316</v>
      </c>
      <c r="J30" s="148"/>
    </row>
    <row r="31" spans="1:10" ht="12" customHeight="1">
      <c r="A31" s="271"/>
      <c r="B31" s="154" t="s">
        <v>71</v>
      </c>
      <c r="C31" s="164"/>
      <c r="D31" s="112">
        <v>13185</v>
      </c>
      <c r="E31" s="112">
        <v>49794</v>
      </c>
      <c r="F31" s="112">
        <v>58137</v>
      </c>
      <c r="G31" s="112">
        <v>72289</v>
      </c>
      <c r="H31" s="112">
        <v>49432</v>
      </c>
      <c r="I31" s="209">
        <f t="shared" si="0"/>
        <v>242837</v>
      </c>
      <c r="J31" s="148"/>
    </row>
    <row r="32" spans="1:10" ht="12" customHeight="1">
      <c r="A32" s="272"/>
      <c r="B32" s="142" t="s">
        <v>72</v>
      </c>
      <c r="C32" s="179"/>
      <c r="D32" s="140">
        <v>12630</v>
      </c>
      <c r="E32" s="140">
        <v>41934</v>
      </c>
      <c r="F32" s="140">
        <v>62902</v>
      </c>
      <c r="G32" s="140">
        <v>51882.999999999993</v>
      </c>
      <c r="H32" s="140">
        <v>45409</v>
      </c>
      <c r="I32" s="206">
        <f t="shared" si="0"/>
        <v>214758</v>
      </c>
      <c r="J32" s="148"/>
    </row>
    <row r="33" spans="1:10" ht="12" customHeight="1">
      <c r="A33" s="638">
        <v>2025</v>
      </c>
      <c r="B33" s="107" t="s">
        <v>61</v>
      </c>
      <c r="C33" s="163"/>
      <c r="D33" s="180">
        <v>12477</v>
      </c>
      <c r="E33" s="180">
        <v>58604</v>
      </c>
      <c r="F33" s="180">
        <v>57702.999999999993</v>
      </c>
      <c r="G33" s="180">
        <v>54762</v>
      </c>
      <c r="H33" s="180">
        <v>36751.000000000007</v>
      </c>
      <c r="I33" s="207">
        <f t="shared" si="0"/>
        <v>220297</v>
      </c>
      <c r="J33" s="148"/>
    </row>
    <row r="34" spans="1:10" ht="12" customHeight="1">
      <c r="A34" s="271"/>
      <c r="B34" s="111" t="s">
        <v>62</v>
      </c>
      <c r="C34" s="164"/>
      <c r="D34" s="135">
        <v>12357.000000000002</v>
      </c>
      <c r="E34" s="135">
        <v>48033</v>
      </c>
      <c r="F34" s="135">
        <v>56333</v>
      </c>
      <c r="G34" s="135">
        <v>64983.000000000007</v>
      </c>
      <c r="H34" s="135">
        <v>27583</v>
      </c>
      <c r="I34" s="202">
        <f t="shared" si="0"/>
        <v>209289</v>
      </c>
      <c r="J34" s="148"/>
    </row>
    <row r="35" spans="1:10" ht="12" customHeight="1">
      <c r="A35" s="274"/>
      <c r="B35" s="154" t="s">
        <v>63</v>
      </c>
      <c r="C35" s="164"/>
      <c r="D35" s="112">
        <v>12390</v>
      </c>
      <c r="E35" s="112">
        <v>54864.000000000007</v>
      </c>
      <c r="F35" s="112">
        <v>38451</v>
      </c>
      <c r="G35" s="112">
        <v>67352</v>
      </c>
      <c r="H35" s="112">
        <v>29192</v>
      </c>
      <c r="I35" s="209">
        <f t="shared" si="0"/>
        <v>202249</v>
      </c>
      <c r="J35" s="148"/>
    </row>
    <row r="36" spans="1:10" ht="12" customHeight="1">
      <c r="A36" s="275"/>
      <c r="B36" s="111" t="s">
        <v>64</v>
      </c>
      <c r="C36" s="164"/>
      <c r="D36" s="112">
        <v>18561</v>
      </c>
      <c r="E36" s="112">
        <v>49689.000000000007</v>
      </c>
      <c r="F36" s="112">
        <v>65839</v>
      </c>
      <c r="G36" s="112">
        <v>75097.000000000015</v>
      </c>
      <c r="H36" s="112">
        <v>52107</v>
      </c>
      <c r="I36" s="209">
        <f t="shared" si="0"/>
        <v>261293</v>
      </c>
      <c r="J36" s="148"/>
    </row>
    <row r="37" spans="1:10" ht="12" customHeight="1">
      <c r="A37" s="271"/>
      <c r="B37" s="111" t="s">
        <v>65</v>
      </c>
      <c r="C37" s="164"/>
      <c r="D37" s="112">
        <v>16625</v>
      </c>
      <c r="E37" s="112">
        <v>55429</v>
      </c>
      <c r="F37" s="112">
        <v>68491</v>
      </c>
      <c r="G37" s="112">
        <v>80625</v>
      </c>
      <c r="H37" s="112">
        <v>36523</v>
      </c>
      <c r="I37" s="209">
        <f t="shared" si="0"/>
        <v>257693</v>
      </c>
      <c r="J37" s="148"/>
    </row>
    <row r="38" spans="1:10" ht="12" customHeight="1">
      <c r="A38" s="274"/>
      <c r="B38" s="154" t="s">
        <v>66</v>
      </c>
      <c r="C38" s="164"/>
      <c r="D38" s="112">
        <v>16740.000000000004</v>
      </c>
      <c r="E38" s="112">
        <v>51678</v>
      </c>
      <c r="F38" s="112">
        <v>58984</v>
      </c>
      <c r="G38" s="112">
        <v>71010</v>
      </c>
      <c r="H38" s="112">
        <v>64388.999999999993</v>
      </c>
      <c r="I38" s="209">
        <f t="shared" si="0"/>
        <v>262801</v>
      </c>
      <c r="J38" s="148"/>
    </row>
    <row r="39" spans="1:10" ht="12" customHeight="1">
      <c r="A39" s="274"/>
      <c r="B39" s="111" t="s">
        <v>67</v>
      </c>
      <c r="C39" s="164"/>
      <c r="D39" s="112">
        <v>29395</v>
      </c>
      <c r="E39" s="112">
        <v>54224.999999999993</v>
      </c>
      <c r="F39" s="112">
        <v>72602</v>
      </c>
      <c r="G39" s="112">
        <v>59759</v>
      </c>
      <c r="H39" s="112">
        <v>54235</v>
      </c>
      <c r="I39" s="209">
        <f t="shared" si="0"/>
        <v>270216</v>
      </c>
      <c r="J39" s="148"/>
    </row>
    <row r="40" spans="1:10" ht="12" customHeight="1">
      <c r="A40" s="271"/>
      <c r="B40" s="111" t="s">
        <v>68</v>
      </c>
      <c r="C40" s="164"/>
      <c r="D40" s="135">
        <v>16718</v>
      </c>
      <c r="E40" s="135">
        <v>46271</v>
      </c>
      <c r="F40" s="135">
        <v>54547</v>
      </c>
      <c r="G40" s="135">
        <v>59046.000000000007</v>
      </c>
      <c r="H40" s="135">
        <v>43673</v>
      </c>
      <c r="I40" s="202">
        <f t="shared" si="0"/>
        <v>220255</v>
      </c>
      <c r="J40" s="148"/>
    </row>
    <row r="41" spans="1:10" ht="12" customHeight="1">
      <c r="A41" s="271"/>
      <c r="B41" s="154" t="s">
        <v>69</v>
      </c>
      <c r="C41" s="164"/>
      <c r="D41" s="112">
        <v>12664</v>
      </c>
      <c r="E41" s="112">
        <v>51279</v>
      </c>
      <c r="F41" s="112">
        <v>86441</v>
      </c>
      <c r="G41" s="112">
        <v>72759</v>
      </c>
      <c r="H41" s="112">
        <v>34152</v>
      </c>
      <c r="I41" s="209">
        <f t="shared" si="0"/>
        <v>257295</v>
      </c>
      <c r="J41" s="148"/>
    </row>
    <row r="42" spans="1:10" ht="12" customHeight="1">
      <c r="A42" s="271"/>
      <c r="B42" s="154" t="s">
        <v>70</v>
      </c>
      <c r="C42" s="164"/>
      <c r="D42" s="112">
        <v>15622</v>
      </c>
      <c r="E42" s="112">
        <v>56593</v>
      </c>
      <c r="F42" s="112">
        <v>41974.000000000007</v>
      </c>
      <c r="G42" s="112">
        <v>69904</v>
      </c>
      <c r="H42" s="112">
        <v>33911</v>
      </c>
      <c r="I42" s="209">
        <f t="shared" si="0"/>
        <v>218004</v>
      </c>
      <c r="J42" s="148"/>
    </row>
    <row r="43" spans="1:10" ht="12" customHeight="1">
      <c r="A43" s="271"/>
      <c r="B43" s="154" t="s">
        <v>71</v>
      </c>
      <c r="C43" s="164"/>
      <c r="D43" s="112">
        <v>20651</v>
      </c>
      <c r="E43" s="112">
        <v>56690.000000000007</v>
      </c>
      <c r="F43" s="112">
        <v>54498.999999999993</v>
      </c>
      <c r="G43" s="112">
        <v>68337</v>
      </c>
      <c r="H43" s="112">
        <v>39511</v>
      </c>
      <c r="I43" s="209">
        <f t="shared" si="0"/>
        <v>239688</v>
      </c>
      <c r="J43" s="148"/>
    </row>
    <row r="44" spans="1:10" ht="12" customHeight="1" thickBot="1">
      <c r="A44" s="272"/>
      <c r="B44" s="142" t="s">
        <v>72</v>
      </c>
      <c r="C44" s="179"/>
      <c r="D44" s="140">
        <v>17495</v>
      </c>
      <c r="E44" s="137">
        <v>60573</v>
      </c>
      <c r="F44" s="140">
        <v>93851</v>
      </c>
      <c r="G44" s="140">
        <v>50121</v>
      </c>
      <c r="H44" s="140">
        <v>46333</v>
      </c>
      <c r="I44" s="206">
        <f t="shared" si="0"/>
        <v>268373</v>
      </c>
      <c r="J44" s="148"/>
    </row>
    <row r="45" spans="1:10" ht="12" customHeight="1">
      <c r="A45" s="106">
        <v>2026</v>
      </c>
      <c r="B45" s="107" t="s">
        <v>61</v>
      </c>
      <c r="C45" s="163"/>
      <c r="D45" s="180">
        <v>12925</v>
      </c>
      <c r="E45" s="180">
        <v>40484</v>
      </c>
      <c r="F45" s="180">
        <v>63227.999999999993</v>
      </c>
      <c r="G45" s="180">
        <v>51968</v>
      </c>
      <c r="H45" s="180">
        <v>51373.999999999993</v>
      </c>
      <c r="I45" s="207">
        <f t="shared" si="0"/>
        <v>219979</v>
      </c>
      <c r="J45" s="148"/>
    </row>
    <row r="46" spans="1:10" ht="12" customHeight="1">
      <c r="A46" s="116"/>
      <c r="B46" s="111" t="s">
        <v>62</v>
      </c>
      <c r="C46" s="164"/>
      <c r="D46" s="135">
        <v>12694</v>
      </c>
      <c r="E46" s="135">
        <v>55147</v>
      </c>
      <c r="F46" s="135">
        <v>63650.000000000007</v>
      </c>
      <c r="G46" s="135">
        <v>56307</v>
      </c>
      <c r="H46" s="135">
        <v>42702</v>
      </c>
      <c r="I46" s="202">
        <f t="shared" si="0"/>
        <v>230500</v>
      </c>
      <c r="J46" s="148"/>
    </row>
    <row r="47" spans="1:10" ht="12" customHeight="1">
      <c r="A47" s="153"/>
      <c r="B47" s="154" t="s">
        <v>63</v>
      </c>
      <c r="C47" s="164"/>
      <c r="D47" s="112" t="s">
        <v>50</v>
      </c>
      <c r="E47" s="112" t="s">
        <v>50</v>
      </c>
      <c r="F47" s="112" t="s">
        <v>50</v>
      </c>
      <c r="G47" s="112" t="s">
        <v>50</v>
      </c>
      <c r="H47" s="112" t="s">
        <v>50</v>
      </c>
      <c r="I47" s="209" t="str">
        <f t="shared" si="0"/>
        <v/>
      </c>
      <c r="J47" s="148"/>
    </row>
    <row r="48" spans="1:10" ht="12" customHeight="1">
      <c r="A48" s="155"/>
      <c r="B48" s="111" t="s">
        <v>64</v>
      </c>
      <c r="C48" s="164"/>
      <c r="D48" s="112" t="s">
        <v>50</v>
      </c>
      <c r="E48" s="112" t="s">
        <v>50</v>
      </c>
      <c r="F48" s="112" t="s">
        <v>50</v>
      </c>
      <c r="G48" s="112" t="s">
        <v>50</v>
      </c>
      <c r="H48" s="112" t="s">
        <v>50</v>
      </c>
      <c r="I48" s="209" t="str">
        <f t="shared" si="0"/>
        <v/>
      </c>
      <c r="J48" s="148"/>
    </row>
    <row r="49" spans="1:12" ht="12" customHeight="1">
      <c r="A49" s="116"/>
      <c r="B49" s="111" t="s">
        <v>65</v>
      </c>
      <c r="C49" s="164"/>
      <c r="D49" s="112" t="s">
        <v>50</v>
      </c>
      <c r="E49" s="112" t="s">
        <v>50</v>
      </c>
      <c r="F49" s="112" t="s">
        <v>50</v>
      </c>
      <c r="G49" s="112" t="s">
        <v>50</v>
      </c>
      <c r="H49" s="112" t="s">
        <v>50</v>
      </c>
      <c r="I49" s="209" t="str">
        <f t="shared" si="0"/>
        <v/>
      </c>
      <c r="J49" s="148"/>
    </row>
    <row r="50" spans="1:12" ht="12" customHeight="1">
      <c r="A50" s="153"/>
      <c r="B50" s="154" t="s">
        <v>66</v>
      </c>
      <c r="C50" s="164"/>
      <c r="D50" s="112" t="s">
        <v>50</v>
      </c>
      <c r="E50" s="112" t="s">
        <v>50</v>
      </c>
      <c r="F50" s="112" t="s">
        <v>50</v>
      </c>
      <c r="G50" s="112" t="s">
        <v>50</v>
      </c>
      <c r="H50" s="112" t="s">
        <v>50</v>
      </c>
      <c r="I50" s="209" t="str">
        <f t="shared" si="0"/>
        <v/>
      </c>
      <c r="J50" s="148"/>
    </row>
    <row r="51" spans="1:12" ht="12" customHeight="1">
      <c r="A51" s="153"/>
      <c r="B51" s="111" t="s">
        <v>67</v>
      </c>
      <c r="C51" s="164"/>
      <c r="D51" s="112" t="s">
        <v>50</v>
      </c>
      <c r="E51" s="112" t="s">
        <v>50</v>
      </c>
      <c r="F51" s="112" t="s">
        <v>50</v>
      </c>
      <c r="G51" s="112" t="s">
        <v>50</v>
      </c>
      <c r="H51" s="112" t="s">
        <v>50</v>
      </c>
      <c r="I51" s="209" t="str">
        <f t="shared" si="0"/>
        <v/>
      </c>
      <c r="J51" s="148"/>
    </row>
    <row r="52" spans="1:12" ht="12" customHeight="1">
      <c r="A52" s="116"/>
      <c r="B52" s="111" t="s">
        <v>68</v>
      </c>
      <c r="C52" s="164"/>
      <c r="D52" s="135" t="s">
        <v>50</v>
      </c>
      <c r="E52" s="135" t="s">
        <v>50</v>
      </c>
      <c r="F52" s="135" t="s">
        <v>50</v>
      </c>
      <c r="G52" s="135" t="s">
        <v>50</v>
      </c>
      <c r="H52" s="135" t="s">
        <v>50</v>
      </c>
      <c r="I52" s="202" t="str">
        <f t="shared" si="0"/>
        <v/>
      </c>
      <c r="J52" s="148"/>
    </row>
    <row r="53" spans="1:12" ht="12" customHeight="1">
      <c r="A53" s="116"/>
      <c r="B53" s="154" t="s">
        <v>69</v>
      </c>
      <c r="C53" s="164"/>
      <c r="D53" s="112" t="s">
        <v>50</v>
      </c>
      <c r="E53" s="112" t="s">
        <v>50</v>
      </c>
      <c r="F53" s="112" t="s">
        <v>50</v>
      </c>
      <c r="G53" s="112" t="s">
        <v>50</v>
      </c>
      <c r="H53" s="112" t="s">
        <v>50</v>
      </c>
      <c r="I53" s="209" t="str">
        <f t="shared" si="0"/>
        <v/>
      </c>
      <c r="J53" s="148"/>
    </row>
    <row r="54" spans="1:12" ht="12" customHeight="1">
      <c r="A54" s="116"/>
      <c r="B54" s="154" t="s">
        <v>70</v>
      </c>
      <c r="C54" s="164"/>
      <c r="D54" s="112" t="s">
        <v>50</v>
      </c>
      <c r="E54" s="112" t="s">
        <v>50</v>
      </c>
      <c r="F54" s="112" t="s">
        <v>50</v>
      </c>
      <c r="G54" s="112" t="s">
        <v>50</v>
      </c>
      <c r="H54" s="112" t="s">
        <v>50</v>
      </c>
      <c r="I54" s="209" t="str">
        <f t="shared" si="0"/>
        <v/>
      </c>
      <c r="J54" s="148"/>
    </row>
    <row r="55" spans="1:12" ht="12" customHeight="1">
      <c r="A55" s="116"/>
      <c r="B55" s="154" t="s">
        <v>71</v>
      </c>
      <c r="C55" s="164"/>
      <c r="D55" s="112" t="s">
        <v>50</v>
      </c>
      <c r="E55" s="112" t="s">
        <v>50</v>
      </c>
      <c r="F55" s="112" t="s">
        <v>50</v>
      </c>
      <c r="G55" s="112" t="s">
        <v>50</v>
      </c>
      <c r="H55" s="112" t="s">
        <v>50</v>
      </c>
      <c r="I55" s="209" t="str">
        <f t="shared" si="0"/>
        <v/>
      </c>
      <c r="J55" s="148"/>
    </row>
    <row r="56" spans="1:12" ht="12" customHeight="1" thickBot="1">
      <c r="A56" s="87"/>
      <c r="B56" s="156" t="s">
        <v>72</v>
      </c>
      <c r="C56" s="166"/>
      <c r="D56" s="137" t="s">
        <v>50</v>
      </c>
      <c r="E56" s="137" t="s">
        <v>50</v>
      </c>
      <c r="F56" s="137" t="s">
        <v>50</v>
      </c>
      <c r="G56" s="137" t="s">
        <v>50</v>
      </c>
      <c r="H56" s="137" t="s">
        <v>50</v>
      </c>
      <c r="I56" s="210" t="str">
        <f t="shared" si="0"/>
        <v/>
      </c>
      <c r="J56" s="148"/>
    </row>
    <row r="57" spans="1:12" s="10" customFormat="1" ht="12" customHeight="1">
      <c r="A57" s="53" t="str">
        <f>Titles!$A$12</f>
        <v>1 Data for 2023, 2024 and 2025 based on 2021 Census Definitions.</v>
      </c>
      <c r="B57" s="84"/>
      <c r="C57" s="356"/>
      <c r="D57" s="317"/>
      <c r="E57" s="54"/>
      <c r="F57" s="317"/>
      <c r="G57" s="317"/>
      <c r="H57" s="357"/>
      <c r="I57" s="77"/>
      <c r="J57" s="227"/>
      <c r="K57" s="299"/>
      <c r="L57" s="11"/>
    </row>
    <row r="58" spans="1:12" s="12" customFormat="1" ht="11.5">
      <c r="A58" s="351" t="s">
        <v>114</v>
      </c>
      <c r="B58" s="306"/>
      <c r="C58" s="306"/>
      <c r="D58" s="306"/>
      <c r="E58" s="350"/>
      <c r="F58" s="304"/>
      <c r="G58" s="304"/>
      <c r="H58" s="304"/>
      <c r="I58" s="305"/>
    </row>
    <row r="59" spans="1:12" s="305" customFormat="1" ht="10.9" customHeight="1">
      <c r="A59" s="318" t="str">
        <f>Titles!$A$10</f>
        <v>Source: CMHC Starts and Completion Survey, Market Absorption Survey</v>
      </c>
      <c r="B59" s="306"/>
      <c r="C59" s="306"/>
      <c r="D59" s="306"/>
      <c r="E59" s="319"/>
      <c r="F59" s="306"/>
      <c r="G59" s="306"/>
      <c r="H59" s="306"/>
    </row>
    <row r="60" spans="1:12" s="305" customFormat="1" ht="10.9" customHeight="1"/>
    <row r="61" spans="1:12" ht="12" customHeight="1">
      <c r="A61" s="318"/>
      <c r="B61" s="169"/>
      <c r="C61" s="169"/>
      <c r="D61" s="169"/>
      <c r="E61" s="169"/>
      <c r="F61" s="319"/>
      <c r="G61" s="169"/>
      <c r="H61" s="169"/>
      <c r="I61" s="169"/>
    </row>
  </sheetData>
  <phoneticPr fontId="11" type="noConversion"/>
  <pageMargins left="0.78740157480314965" right="0.51181102362204722" top="0.51181102362204722" bottom="0.51181102362204722" header="0.51181102362204722" footer="0.51181102362204722"/>
  <pageSetup scale="99"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I21:I45 I46:I55" unlocked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64"/>
  <sheetViews>
    <sheetView showGridLines="0" showZeros="0" zoomScale="115" zoomScaleNormal="115" workbookViewId="0">
      <pane xSplit="3" ySplit="8" topLeftCell="D9" activePane="bottomRight" state="frozen"/>
      <selection pane="topRight"/>
      <selection pane="bottomLeft"/>
      <selection pane="bottomRight"/>
    </sheetView>
  </sheetViews>
  <sheetFormatPr defaultColWidth="11.53515625" defaultRowHeight="15.5"/>
  <cols>
    <col min="1" max="1" width="4.765625" style="588" customWidth="1"/>
    <col min="2" max="3" width="8.23046875" customWidth="1"/>
    <col min="4" max="4" width="9.765625" customWidth="1"/>
    <col min="5" max="5" width="10.23046875" customWidth="1"/>
    <col min="6" max="6" width="10.765625" customWidth="1"/>
    <col min="7" max="7" width="12.765625" customWidth="1"/>
    <col min="8" max="8" width="9.765625" customWidth="1"/>
  </cols>
  <sheetData>
    <row r="1" spans="1:9" s="10" customFormat="1" ht="16.149999999999999" customHeight="1">
      <c r="A1" s="583" t="s">
        <v>125</v>
      </c>
      <c r="B1" s="427"/>
      <c r="C1" s="427"/>
      <c r="D1" s="427"/>
      <c r="E1" s="427"/>
      <c r="F1" s="427"/>
      <c r="G1" s="427"/>
      <c r="H1" s="428"/>
      <c r="I1" s="11"/>
    </row>
    <row r="2" spans="1:9" s="10" customFormat="1" ht="16.149999999999999" customHeight="1">
      <c r="A2" s="584" t="s">
        <v>141</v>
      </c>
      <c r="B2" s="429"/>
      <c r="C2" s="429"/>
      <c r="D2" s="429"/>
      <c r="E2" s="429"/>
      <c r="F2" s="429"/>
      <c r="G2" s="429"/>
      <c r="H2" s="430"/>
      <c r="I2" s="11"/>
    </row>
    <row r="3" spans="1:9" s="10" customFormat="1" ht="16.149999999999999" customHeight="1">
      <c r="A3" s="585"/>
      <c r="B3" s="458"/>
      <c r="C3" s="458"/>
      <c r="D3" s="458"/>
      <c r="E3" s="458"/>
      <c r="F3" s="458"/>
      <c r="G3" s="458"/>
      <c r="H3" s="459"/>
      <c r="I3" s="11"/>
    </row>
    <row r="4" spans="1:9" s="10" customFormat="1" ht="16.149999999999999" customHeight="1" thickBot="1">
      <c r="A4" s="586"/>
      <c r="B4" s="460"/>
      <c r="C4" s="460"/>
      <c r="D4" s="460"/>
      <c r="E4" s="460"/>
      <c r="F4" s="460"/>
      <c r="G4" s="460"/>
      <c r="H4" s="461"/>
      <c r="I4" s="11"/>
    </row>
    <row r="5" spans="1:9" ht="12" customHeight="1">
      <c r="A5" s="587" t="s">
        <v>93</v>
      </c>
      <c r="B5" s="92"/>
      <c r="C5" s="118"/>
      <c r="D5" s="95" t="s">
        <v>76</v>
      </c>
      <c r="E5" s="119" t="s">
        <v>80</v>
      </c>
      <c r="F5" s="119" t="s">
        <v>77</v>
      </c>
      <c r="G5" s="119" t="s">
        <v>78</v>
      </c>
      <c r="H5" s="565" t="s">
        <v>44</v>
      </c>
      <c r="I5" s="148"/>
    </row>
    <row r="6" spans="1:9" ht="12" customHeight="1">
      <c r="B6" s="89"/>
      <c r="C6" s="100"/>
      <c r="D6" s="95"/>
      <c r="E6" s="95" t="s">
        <v>79</v>
      </c>
      <c r="F6" s="95"/>
      <c r="G6" s="95"/>
      <c r="H6" s="102"/>
      <c r="I6" s="148"/>
    </row>
    <row r="7" spans="1:9" ht="12" customHeight="1">
      <c r="A7" s="589"/>
      <c r="B7" s="89"/>
      <c r="C7" s="100"/>
      <c r="E7" s="96"/>
      <c r="F7" s="96"/>
      <c r="G7" s="96"/>
      <c r="H7" s="102"/>
      <c r="I7" s="148"/>
    </row>
    <row r="8" spans="1:9" ht="12" customHeight="1">
      <c r="A8" s="590"/>
      <c r="B8" s="139"/>
      <c r="C8" s="145"/>
      <c r="D8" s="143"/>
      <c r="E8" s="143"/>
      <c r="F8" s="143"/>
      <c r="G8" s="143"/>
      <c r="H8" s="102"/>
      <c r="I8" s="148"/>
    </row>
    <row r="9" spans="1:9" ht="12" customHeight="1">
      <c r="A9" s="642" t="s">
        <v>262</v>
      </c>
      <c r="B9" s="741"/>
      <c r="C9" s="130"/>
      <c r="D9" s="366">
        <v>1014</v>
      </c>
      <c r="E9" s="366">
        <v>1334</v>
      </c>
      <c r="F9" s="366">
        <v>6663</v>
      </c>
      <c r="G9" s="366">
        <v>4987</v>
      </c>
      <c r="H9" s="366">
        <v>13998</v>
      </c>
      <c r="I9" s="148"/>
    </row>
    <row r="10" spans="1:9" ht="12" customHeight="1">
      <c r="A10" s="643" t="s">
        <v>267</v>
      </c>
      <c r="B10" s="637"/>
      <c r="C10" s="742"/>
      <c r="D10" s="366">
        <v>1131</v>
      </c>
      <c r="E10" s="366">
        <v>1276</v>
      </c>
      <c r="F10" s="366">
        <v>8732</v>
      </c>
      <c r="G10" s="366">
        <v>5717</v>
      </c>
      <c r="H10" s="366">
        <v>16856</v>
      </c>
      <c r="I10" s="148"/>
    </row>
    <row r="11" spans="1:9" ht="11.9" customHeight="1">
      <c r="A11" s="638">
        <v>2024</v>
      </c>
      <c r="B11" s="150" t="s">
        <v>57</v>
      </c>
      <c r="C11" s="159"/>
      <c r="D11" s="108">
        <v>898</v>
      </c>
      <c r="E11" s="108">
        <v>1520</v>
      </c>
      <c r="F11" s="108">
        <v>8554</v>
      </c>
      <c r="G11" s="108">
        <v>4631</v>
      </c>
      <c r="H11" s="208">
        <v>15603.000000000002</v>
      </c>
      <c r="I11" s="148"/>
    </row>
    <row r="12" spans="1:9" ht="11.9" customHeight="1">
      <c r="A12" s="271"/>
      <c r="B12" s="134" t="s">
        <v>58</v>
      </c>
      <c r="C12" s="160"/>
      <c r="D12" s="135">
        <v>896</v>
      </c>
      <c r="E12" s="135">
        <v>976</v>
      </c>
      <c r="F12" s="135">
        <v>8696</v>
      </c>
      <c r="G12" s="135">
        <v>4976</v>
      </c>
      <c r="H12" s="209">
        <v>15544</v>
      </c>
      <c r="I12" s="148"/>
    </row>
    <row r="13" spans="1:9" ht="11.9" customHeight="1">
      <c r="A13" s="271"/>
      <c r="B13" s="134" t="s">
        <v>59</v>
      </c>
      <c r="C13" s="160"/>
      <c r="D13" s="135">
        <v>1097.9999999999998</v>
      </c>
      <c r="E13" s="135">
        <v>1754</v>
      </c>
      <c r="F13" s="135">
        <v>4391</v>
      </c>
      <c r="G13" s="135">
        <v>5193</v>
      </c>
      <c r="H13" s="209">
        <v>12436</v>
      </c>
      <c r="I13" s="148"/>
    </row>
    <row r="14" spans="1:9" ht="11.9" customHeight="1">
      <c r="A14" s="272"/>
      <c r="B14" s="151" t="s">
        <v>60</v>
      </c>
      <c r="C14" s="178"/>
      <c r="D14" s="135">
        <v>1152</v>
      </c>
      <c r="E14" s="135">
        <v>949.00000000000011</v>
      </c>
      <c r="F14" s="135">
        <v>5061</v>
      </c>
      <c r="G14" s="135">
        <v>5298</v>
      </c>
      <c r="H14" s="209">
        <v>12460</v>
      </c>
      <c r="I14" s="148"/>
    </row>
    <row r="15" spans="1:9" ht="11.9" customHeight="1">
      <c r="A15" s="106">
        <v>2025</v>
      </c>
      <c r="B15" s="150" t="s">
        <v>57</v>
      </c>
      <c r="C15" s="159"/>
      <c r="D15" s="108">
        <v>1001.0000000000001</v>
      </c>
      <c r="E15" s="108">
        <v>1402.0000000000002</v>
      </c>
      <c r="F15" s="108">
        <v>6727</v>
      </c>
      <c r="G15" s="108">
        <v>4782</v>
      </c>
      <c r="H15" s="208">
        <v>13912</v>
      </c>
      <c r="I15" s="148"/>
    </row>
    <row r="16" spans="1:9" ht="11.9" customHeight="1">
      <c r="A16" s="271"/>
      <c r="B16" s="134" t="s">
        <v>58</v>
      </c>
      <c r="C16" s="160"/>
      <c r="D16" s="112">
        <v>1197</v>
      </c>
      <c r="E16" s="112">
        <v>1123</v>
      </c>
      <c r="F16" s="112">
        <v>9622</v>
      </c>
      <c r="G16" s="135">
        <v>5164</v>
      </c>
      <c r="H16" s="209">
        <v>17106</v>
      </c>
      <c r="I16" s="148"/>
    </row>
    <row r="17" spans="1:9" ht="11.9" customHeight="1">
      <c r="A17" s="271"/>
      <c r="B17" s="134" t="s">
        <v>59</v>
      </c>
      <c r="C17" s="160"/>
      <c r="D17" s="131">
        <v>1077</v>
      </c>
      <c r="E17" s="131">
        <v>1845</v>
      </c>
      <c r="F17" s="131">
        <v>9835</v>
      </c>
      <c r="G17" s="135">
        <v>5551</v>
      </c>
      <c r="H17" s="209">
        <v>18308</v>
      </c>
      <c r="I17" s="148"/>
    </row>
    <row r="18" spans="1:9" ht="11.9" customHeight="1">
      <c r="A18" s="272"/>
      <c r="B18" s="151" t="s">
        <v>60</v>
      </c>
      <c r="C18" s="178"/>
      <c r="D18" s="136">
        <v>1202.9999999999998</v>
      </c>
      <c r="E18" s="136">
        <v>731</v>
      </c>
      <c r="F18" s="136">
        <v>8670</v>
      </c>
      <c r="G18" s="135">
        <v>7389</v>
      </c>
      <c r="H18" s="209">
        <v>17993</v>
      </c>
      <c r="I18" s="148"/>
    </row>
    <row r="19" spans="1:9" ht="11.9" customHeight="1">
      <c r="A19" s="638">
        <v>2026</v>
      </c>
      <c r="B19" s="150" t="s">
        <v>57</v>
      </c>
      <c r="C19" s="159"/>
      <c r="D19" s="108"/>
      <c r="E19" s="108"/>
      <c r="F19" s="108"/>
      <c r="G19" s="108"/>
      <c r="H19" s="208"/>
      <c r="I19" s="148"/>
    </row>
    <row r="20" spans="1:9" ht="11.9" customHeight="1">
      <c r="A20" s="271"/>
      <c r="B20" s="134" t="s">
        <v>58</v>
      </c>
      <c r="C20" s="160"/>
      <c r="D20" s="112"/>
      <c r="E20" s="112"/>
      <c r="F20" s="112"/>
      <c r="G20" s="135"/>
      <c r="H20" s="209"/>
      <c r="I20" s="148"/>
    </row>
    <row r="21" spans="1:9" ht="11.9" customHeight="1">
      <c r="A21" s="271"/>
      <c r="B21" s="134" t="s">
        <v>59</v>
      </c>
      <c r="C21" s="160"/>
      <c r="D21" s="131"/>
      <c r="E21" s="131"/>
      <c r="F21" s="131"/>
      <c r="G21" s="135"/>
      <c r="H21" s="209"/>
      <c r="I21" s="148"/>
    </row>
    <row r="22" spans="1:9" ht="11.9" customHeight="1">
      <c r="A22" s="273"/>
      <c r="B22" s="152" t="s">
        <v>60</v>
      </c>
      <c r="C22" s="162"/>
      <c r="D22" s="136"/>
      <c r="E22" s="136"/>
      <c r="F22" s="136"/>
      <c r="G22" s="135"/>
      <c r="H22" s="209"/>
      <c r="I22" s="148"/>
    </row>
    <row r="23" spans="1:9" ht="11.9" customHeight="1">
      <c r="A23" s="106">
        <v>2024</v>
      </c>
      <c r="B23" s="107" t="s">
        <v>61</v>
      </c>
      <c r="C23" s="163"/>
      <c r="D23" s="180">
        <v>1259</v>
      </c>
      <c r="E23" s="180">
        <v>1092</v>
      </c>
      <c r="F23" s="180">
        <v>6029</v>
      </c>
      <c r="G23" s="180">
        <v>3662</v>
      </c>
      <c r="H23" s="208">
        <f>IF(SUM(C23:G23)=0,"",SUM(C23:G23))</f>
        <v>12042</v>
      </c>
      <c r="I23" s="148"/>
    </row>
    <row r="24" spans="1:9" ht="11.9" customHeight="1">
      <c r="A24" s="271"/>
      <c r="B24" s="111" t="s">
        <v>62</v>
      </c>
      <c r="C24" s="164"/>
      <c r="D24" s="135">
        <v>730</v>
      </c>
      <c r="E24" s="135">
        <v>287.00000000000006</v>
      </c>
      <c r="F24" s="135">
        <v>12078</v>
      </c>
      <c r="G24" s="135">
        <v>4746</v>
      </c>
      <c r="H24" s="209">
        <f t="shared" ref="H24:H58" si="0">IF(SUM(C24:G24)=0,"",SUM(C24:G24))</f>
        <v>17841</v>
      </c>
      <c r="I24" s="148"/>
    </row>
    <row r="25" spans="1:9" ht="11.9" customHeight="1">
      <c r="A25" s="274"/>
      <c r="B25" s="154" t="s">
        <v>63</v>
      </c>
      <c r="C25" s="164"/>
      <c r="D25" s="112">
        <v>349.00000000000006</v>
      </c>
      <c r="E25" s="112">
        <v>790.99999999999989</v>
      </c>
      <c r="F25" s="112">
        <v>7564</v>
      </c>
      <c r="G25" s="112">
        <v>1483</v>
      </c>
      <c r="H25" s="209">
        <f t="shared" si="0"/>
        <v>10187</v>
      </c>
      <c r="I25" s="148"/>
    </row>
    <row r="26" spans="1:9" ht="11.9" customHeight="1">
      <c r="A26" s="275"/>
      <c r="B26" s="111" t="s">
        <v>64</v>
      </c>
      <c r="C26" s="164"/>
      <c r="D26" s="112">
        <v>808.99999999999989</v>
      </c>
      <c r="E26" s="112">
        <v>231</v>
      </c>
      <c r="F26" s="112">
        <v>7179</v>
      </c>
      <c r="G26" s="112">
        <v>3290</v>
      </c>
      <c r="H26" s="209">
        <f t="shared" si="0"/>
        <v>11509</v>
      </c>
      <c r="I26" s="148"/>
    </row>
    <row r="27" spans="1:9" ht="11.9" customHeight="1">
      <c r="A27" s="271"/>
      <c r="B27" s="111" t="s">
        <v>65</v>
      </c>
      <c r="C27" s="164"/>
      <c r="D27" s="112">
        <v>708</v>
      </c>
      <c r="E27" s="112">
        <v>1544</v>
      </c>
      <c r="F27" s="112">
        <v>8103</v>
      </c>
      <c r="G27" s="112">
        <v>7225</v>
      </c>
      <c r="H27" s="209">
        <f t="shared" si="0"/>
        <v>17580</v>
      </c>
      <c r="I27" s="148"/>
    </row>
    <row r="28" spans="1:9" ht="11.9" customHeight="1">
      <c r="A28" s="274"/>
      <c r="B28" s="154" t="s">
        <v>66</v>
      </c>
      <c r="C28" s="164"/>
      <c r="D28" s="112">
        <v>1152.0000000000002</v>
      </c>
      <c r="E28" s="112">
        <v>601</v>
      </c>
      <c r="F28" s="112">
        <v>10873.000000000002</v>
      </c>
      <c r="G28" s="112">
        <v>5179</v>
      </c>
      <c r="H28" s="209">
        <f t="shared" si="0"/>
        <v>17805</v>
      </c>
      <c r="I28" s="148"/>
    </row>
    <row r="29" spans="1:9" ht="11.9" customHeight="1">
      <c r="A29" s="274"/>
      <c r="B29" s="111" t="s">
        <v>67</v>
      </c>
      <c r="C29" s="164"/>
      <c r="D29" s="112">
        <v>940</v>
      </c>
      <c r="E29" s="112">
        <v>2173</v>
      </c>
      <c r="F29" s="112">
        <v>5559</v>
      </c>
      <c r="G29" s="112">
        <v>3755</v>
      </c>
      <c r="H29" s="209">
        <f t="shared" si="0"/>
        <v>12427</v>
      </c>
      <c r="I29" s="148"/>
    </row>
    <row r="30" spans="1:9" ht="11.9" customHeight="1">
      <c r="A30" s="271"/>
      <c r="B30" s="111" t="s">
        <v>68</v>
      </c>
      <c r="C30" s="164"/>
      <c r="D30" s="135">
        <v>1200</v>
      </c>
      <c r="E30" s="135">
        <v>597</v>
      </c>
      <c r="F30" s="135">
        <v>3380</v>
      </c>
      <c r="G30" s="135">
        <v>7851.0000000000009</v>
      </c>
      <c r="H30" s="209">
        <f t="shared" si="0"/>
        <v>13028</v>
      </c>
      <c r="I30" s="148"/>
    </row>
    <row r="31" spans="1:9" ht="11.9" customHeight="1">
      <c r="A31" s="271"/>
      <c r="B31" s="154" t="s">
        <v>69</v>
      </c>
      <c r="C31" s="164"/>
      <c r="D31" s="112">
        <v>1043.0000000000002</v>
      </c>
      <c r="E31" s="112">
        <v>400</v>
      </c>
      <c r="F31" s="112">
        <v>4141</v>
      </c>
      <c r="G31" s="112">
        <v>7397</v>
      </c>
      <c r="H31" s="209">
        <f t="shared" si="0"/>
        <v>12981</v>
      </c>
      <c r="I31" s="148"/>
    </row>
    <row r="32" spans="1:9" ht="11.9" customHeight="1">
      <c r="A32" s="271"/>
      <c r="B32" s="154" t="s">
        <v>70</v>
      </c>
      <c r="C32" s="164"/>
      <c r="D32" s="112">
        <v>1292</v>
      </c>
      <c r="E32" s="112">
        <v>1271.9999999999998</v>
      </c>
      <c r="F32" s="112">
        <v>4171</v>
      </c>
      <c r="G32" s="112">
        <v>4599</v>
      </c>
      <c r="H32" s="209">
        <f t="shared" si="0"/>
        <v>11334</v>
      </c>
      <c r="I32" s="148"/>
    </row>
    <row r="33" spans="1:9" ht="11.9" customHeight="1">
      <c r="A33" s="271"/>
      <c r="B33" s="154" t="s">
        <v>71</v>
      </c>
      <c r="C33" s="164"/>
      <c r="D33" s="112">
        <v>1407</v>
      </c>
      <c r="E33" s="112">
        <v>243</v>
      </c>
      <c r="F33" s="112">
        <v>5696</v>
      </c>
      <c r="G33" s="112">
        <v>5839</v>
      </c>
      <c r="H33" s="209">
        <f t="shared" si="0"/>
        <v>13185</v>
      </c>
      <c r="I33" s="148"/>
    </row>
    <row r="34" spans="1:9" ht="11.9" customHeight="1">
      <c r="A34" s="272"/>
      <c r="B34" s="142" t="s">
        <v>72</v>
      </c>
      <c r="C34" s="179"/>
      <c r="D34" s="140">
        <v>1099</v>
      </c>
      <c r="E34" s="140">
        <v>1272</v>
      </c>
      <c r="F34" s="140">
        <v>5403.0000000000009</v>
      </c>
      <c r="G34" s="140">
        <v>4856</v>
      </c>
      <c r="H34" s="212">
        <f t="shared" si="0"/>
        <v>12630</v>
      </c>
      <c r="I34" s="148"/>
    </row>
    <row r="35" spans="1:9" ht="11.9" customHeight="1">
      <c r="A35" s="638">
        <v>2025</v>
      </c>
      <c r="B35" s="107" t="s">
        <v>61</v>
      </c>
      <c r="C35" s="163"/>
      <c r="D35" s="180">
        <v>953</v>
      </c>
      <c r="E35" s="180">
        <v>2466</v>
      </c>
      <c r="F35" s="180">
        <v>7380</v>
      </c>
      <c r="G35" s="180">
        <v>1678</v>
      </c>
      <c r="H35" s="204">
        <f t="shared" si="0"/>
        <v>12477</v>
      </c>
      <c r="I35" s="148"/>
    </row>
    <row r="36" spans="1:9" ht="11.9" customHeight="1">
      <c r="A36" s="271"/>
      <c r="B36" s="111" t="s">
        <v>62</v>
      </c>
      <c r="C36" s="164"/>
      <c r="D36" s="135">
        <v>950.99999999999989</v>
      </c>
      <c r="E36" s="135">
        <v>869</v>
      </c>
      <c r="F36" s="135">
        <v>6239.0000000000009</v>
      </c>
      <c r="G36" s="135">
        <v>4298</v>
      </c>
      <c r="H36" s="209">
        <f t="shared" si="0"/>
        <v>12357</v>
      </c>
      <c r="I36" s="148"/>
    </row>
    <row r="37" spans="1:9" ht="11.9" customHeight="1">
      <c r="A37" s="274"/>
      <c r="B37" s="154" t="s">
        <v>63</v>
      </c>
      <c r="C37" s="164"/>
      <c r="D37" s="112">
        <v>911</v>
      </c>
      <c r="E37" s="112">
        <v>364</v>
      </c>
      <c r="F37" s="112">
        <v>6168</v>
      </c>
      <c r="G37" s="112">
        <v>4947</v>
      </c>
      <c r="H37" s="209">
        <f t="shared" si="0"/>
        <v>12390</v>
      </c>
      <c r="I37" s="148"/>
    </row>
    <row r="38" spans="1:9" ht="11.9" customHeight="1">
      <c r="A38" s="275"/>
      <c r="B38" s="111" t="s">
        <v>64</v>
      </c>
      <c r="C38" s="164"/>
      <c r="D38" s="112">
        <v>1504</v>
      </c>
      <c r="E38" s="112">
        <v>1983</v>
      </c>
      <c r="F38" s="112">
        <v>12527</v>
      </c>
      <c r="G38" s="112">
        <v>2546.9999999999995</v>
      </c>
      <c r="H38" s="209">
        <f t="shared" si="0"/>
        <v>18561</v>
      </c>
      <c r="I38" s="148"/>
    </row>
    <row r="39" spans="1:9" ht="11.9" customHeight="1">
      <c r="A39" s="271"/>
      <c r="B39" s="111" t="s">
        <v>65</v>
      </c>
      <c r="C39" s="164"/>
      <c r="D39" s="112">
        <v>1127</v>
      </c>
      <c r="E39" s="112">
        <v>392</v>
      </c>
      <c r="F39" s="112">
        <v>8673</v>
      </c>
      <c r="G39" s="112">
        <v>6433</v>
      </c>
      <c r="H39" s="209">
        <f t="shared" si="0"/>
        <v>16625</v>
      </c>
      <c r="I39" s="148"/>
    </row>
    <row r="40" spans="1:9" ht="11.9" customHeight="1">
      <c r="A40" s="274"/>
      <c r="B40" s="154" t="s">
        <v>66</v>
      </c>
      <c r="C40" s="164"/>
      <c r="D40" s="112">
        <v>1085</v>
      </c>
      <c r="E40" s="112">
        <v>545</v>
      </c>
      <c r="F40" s="112">
        <v>7949</v>
      </c>
      <c r="G40" s="112">
        <v>7161.0000000000009</v>
      </c>
      <c r="H40" s="209">
        <f t="shared" si="0"/>
        <v>16740</v>
      </c>
      <c r="I40" s="148"/>
    </row>
    <row r="41" spans="1:9" ht="11.9" customHeight="1">
      <c r="A41" s="274"/>
      <c r="B41" s="111" t="s">
        <v>67</v>
      </c>
      <c r="C41" s="164"/>
      <c r="D41" s="112">
        <v>1164</v>
      </c>
      <c r="E41" s="112">
        <v>2708</v>
      </c>
      <c r="F41" s="112">
        <v>16805</v>
      </c>
      <c r="G41" s="112">
        <v>8718</v>
      </c>
      <c r="H41" s="209">
        <f t="shared" si="0"/>
        <v>29395</v>
      </c>
      <c r="I41" s="148"/>
    </row>
    <row r="42" spans="1:9" ht="11.9" customHeight="1">
      <c r="A42" s="271"/>
      <c r="B42" s="111" t="s">
        <v>68</v>
      </c>
      <c r="C42" s="164"/>
      <c r="D42" s="135">
        <v>836.00000000000011</v>
      </c>
      <c r="E42" s="135">
        <v>2306</v>
      </c>
      <c r="F42" s="135">
        <v>6875</v>
      </c>
      <c r="G42" s="135">
        <v>6701</v>
      </c>
      <c r="H42" s="209">
        <f t="shared" si="0"/>
        <v>16718</v>
      </c>
      <c r="I42" s="148"/>
    </row>
    <row r="43" spans="1:9" ht="11.9" customHeight="1">
      <c r="A43" s="271"/>
      <c r="B43" s="154" t="s">
        <v>69</v>
      </c>
      <c r="C43" s="164"/>
      <c r="D43" s="112">
        <v>1127</v>
      </c>
      <c r="E43" s="112">
        <v>899</v>
      </c>
      <c r="F43" s="112">
        <v>5792</v>
      </c>
      <c r="G43" s="112">
        <v>4846</v>
      </c>
      <c r="H43" s="209">
        <f t="shared" si="0"/>
        <v>12664</v>
      </c>
      <c r="I43" s="148"/>
    </row>
    <row r="44" spans="1:9" ht="11.9" customHeight="1">
      <c r="A44" s="271"/>
      <c r="B44" s="154" t="s">
        <v>70</v>
      </c>
      <c r="C44" s="164"/>
      <c r="D44" s="112">
        <v>1175</v>
      </c>
      <c r="E44" s="112">
        <v>646</v>
      </c>
      <c r="F44" s="112">
        <v>8311</v>
      </c>
      <c r="G44" s="112">
        <v>5490</v>
      </c>
      <c r="H44" s="209">
        <f t="shared" si="0"/>
        <v>15622</v>
      </c>
      <c r="I44" s="148"/>
    </row>
    <row r="45" spans="1:9" ht="11.9" customHeight="1">
      <c r="A45" s="271"/>
      <c r="B45" s="154" t="s">
        <v>71</v>
      </c>
      <c r="C45" s="164"/>
      <c r="D45" s="112">
        <v>1653</v>
      </c>
      <c r="E45" s="112">
        <v>431</v>
      </c>
      <c r="F45" s="112">
        <v>7285</v>
      </c>
      <c r="G45" s="112">
        <v>11282</v>
      </c>
      <c r="H45" s="209">
        <f t="shared" si="0"/>
        <v>20651</v>
      </c>
      <c r="I45" s="148"/>
    </row>
    <row r="46" spans="1:9" ht="11.9" customHeight="1">
      <c r="A46" s="272"/>
      <c r="B46" s="142" t="s">
        <v>72</v>
      </c>
      <c r="C46" s="179"/>
      <c r="D46" s="140">
        <v>1179</v>
      </c>
      <c r="E46" s="140">
        <v>1099</v>
      </c>
      <c r="F46" s="140">
        <v>10443</v>
      </c>
      <c r="G46" s="140">
        <v>4774</v>
      </c>
      <c r="H46" s="212">
        <f t="shared" si="0"/>
        <v>17495</v>
      </c>
      <c r="I46" s="148"/>
    </row>
    <row r="47" spans="1:9" ht="11.9" customHeight="1">
      <c r="A47" s="106">
        <v>2026</v>
      </c>
      <c r="B47" s="107" t="s">
        <v>61</v>
      </c>
      <c r="C47" s="163"/>
      <c r="D47" s="180">
        <v>1192</v>
      </c>
      <c r="E47" s="180">
        <v>1293.0000000000002</v>
      </c>
      <c r="F47" s="180">
        <v>4808</v>
      </c>
      <c r="G47" s="180">
        <v>5632</v>
      </c>
      <c r="H47" s="204">
        <f t="shared" si="0"/>
        <v>12925</v>
      </c>
      <c r="I47" s="148"/>
    </row>
    <row r="48" spans="1:9" ht="11.9" customHeight="1">
      <c r="A48" s="116"/>
      <c r="B48" s="111" t="s">
        <v>62</v>
      </c>
      <c r="C48" s="164"/>
      <c r="D48" s="135">
        <v>1011.0000000000001</v>
      </c>
      <c r="E48" s="135">
        <v>1410.0000000000002</v>
      </c>
      <c r="F48" s="135">
        <v>6234</v>
      </c>
      <c r="G48" s="135">
        <v>4038.9999999999995</v>
      </c>
      <c r="H48" s="209">
        <f t="shared" si="0"/>
        <v>12694</v>
      </c>
      <c r="I48" s="148"/>
    </row>
    <row r="49" spans="1:12" ht="11.9" customHeight="1">
      <c r="A49" s="153"/>
      <c r="B49" s="154" t="s">
        <v>63</v>
      </c>
      <c r="C49" s="164"/>
      <c r="D49" s="112" t="s">
        <v>50</v>
      </c>
      <c r="E49" s="112" t="s">
        <v>50</v>
      </c>
      <c r="F49" s="112" t="s">
        <v>50</v>
      </c>
      <c r="G49" s="112" t="s">
        <v>50</v>
      </c>
      <c r="H49" s="209" t="str">
        <f t="shared" si="0"/>
        <v/>
      </c>
      <c r="I49" s="148"/>
    </row>
    <row r="50" spans="1:12" ht="11.9" customHeight="1">
      <c r="A50" s="155"/>
      <c r="B50" s="111" t="s">
        <v>64</v>
      </c>
      <c r="C50" s="164"/>
      <c r="D50" s="112" t="s">
        <v>50</v>
      </c>
      <c r="E50" s="112" t="s">
        <v>50</v>
      </c>
      <c r="F50" s="112" t="s">
        <v>50</v>
      </c>
      <c r="G50" s="112" t="s">
        <v>50</v>
      </c>
      <c r="H50" s="209" t="str">
        <f t="shared" si="0"/>
        <v/>
      </c>
      <c r="I50" s="148"/>
    </row>
    <row r="51" spans="1:12" ht="11.9" customHeight="1">
      <c r="A51" s="116"/>
      <c r="B51" s="111" t="s">
        <v>65</v>
      </c>
      <c r="C51" s="164"/>
      <c r="D51" s="112" t="s">
        <v>50</v>
      </c>
      <c r="E51" s="112" t="s">
        <v>50</v>
      </c>
      <c r="F51" s="112" t="s">
        <v>50</v>
      </c>
      <c r="G51" s="112" t="s">
        <v>50</v>
      </c>
      <c r="H51" s="209" t="str">
        <f t="shared" si="0"/>
        <v/>
      </c>
      <c r="I51" s="148"/>
    </row>
    <row r="52" spans="1:12" ht="11.9" customHeight="1">
      <c r="A52" s="153"/>
      <c r="B52" s="154" t="s">
        <v>66</v>
      </c>
      <c r="C52" s="164"/>
      <c r="D52" s="112" t="s">
        <v>50</v>
      </c>
      <c r="E52" s="112" t="s">
        <v>50</v>
      </c>
      <c r="F52" s="112" t="s">
        <v>50</v>
      </c>
      <c r="G52" s="112" t="s">
        <v>50</v>
      </c>
      <c r="H52" s="209" t="str">
        <f t="shared" si="0"/>
        <v/>
      </c>
      <c r="I52" s="148"/>
    </row>
    <row r="53" spans="1:12" ht="11.9" customHeight="1">
      <c r="A53" s="153"/>
      <c r="B53" s="111" t="s">
        <v>67</v>
      </c>
      <c r="C53" s="164"/>
      <c r="D53" s="112" t="s">
        <v>50</v>
      </c>
      <c r="E53" s="112" t="s">
        <v>50</v>
      </c>
      <c r="F53" s="112" t="s">
        <v>50</v>
      </c>
      <c r="G53" s="112" t="s">
        <v>50</v>
      </c>
      <c r="H53" s="209" t="str">
        <f t="shared" si="0"/>
        <v/>
      </c>
      <c r="I53" s="148"/>
    </row>
    <row r="54" spans="1:12" ht="11.9" customHeight="1">
      <c r="A54" s="116"/>
      <c r="B54" s="111" t="s">
        <v>68</v>
      </c>
      <c r="C54" s="164"/>
      <c r="D54" s="135" t="s">
        <v>50</v>
      </c>
      <c r="E54" s="135" t="s">
        <v>50</v>
      </c>
      <c r="F54" s="135" t="s">
        <v>50</v>
      </c>
      <c r="G54" s="135" t="s">
        <v>50</v>
      </c>
      <c r="H54" s="209" t="str">
        <f t="shared" si="0"/>
        <v/>
      </c>
      <c r="I54" s="148"/>
    </row>
    <row r="55" spans="1:12" ht="11.9" customHeight="1">
      <c r="A55" s="116"/>
      <c r="B55" s="154" t="s">
        <v>69</v>
      </c>
      <c r="C55" s="164"/>
      <c r="D55" s="112" t="s">
        <v>50</v>
      </c>
      <c r="E55" s="112" t="s">
        <v>50</v>
      </c>
      <c r="F55" s="112" t="s">
        <v>50</v>
      </c>
      <c r="G55" s="112" t="s">
        <v>50</v>
      </c>
      <c r="H55" s="209" t="str">
        <f t="shared" si="0"/>
        <v/>
      </c>
      <c r="I55" s="148"/>
    </row>
    <row r="56" spans="1:12" ht="11.9" customHeight="1">
      <c r="A56" s="116"/>
      <c r="B56" s="154" t="s">
        <v>70</v>
      </c>
      <c r="C56" s="164"/>
      <c r="D56" s="112" t="s">
        <v>50</v>
      </c>
      <c r="E56" s="112" t="s">
        <v>50</v>
      </c>
      <c r="F56" s="112" t="s">
        <v>50</v>
      </c>
      <c r="G56" s="112" t="s">
        <v>50</v>
      </c>
      <c r="H56" s="209" t="str">
        <f t="shared" si="0"/>
        <v/>
      </c>
      <c r="I56" s="148"/>
    </row>
    <row r="57" spans="1:12" ht="11.9" customHeight="1">
      <c r="A57" s="639"/>
      <c r="B57" s="154" t="s">
        <v>71</v>
      </c>
      <c r="C57" s="164"/>
      <c r="D57" s="112" t="s">
        <v>50</v>
      </c>
      <c r="E57" s="112" t="s">
        <v>50</v>
      </c>
      <c r="F57" s="112" t="s">
        <v>50</v>
      </c>
      <c r="G57" s="112" t="s">
        <v>50</v>
      </c>
      <c r="H57" s="209" t="str">
        <f t="shared" si="0"/>
        <v/>
      </c>
      <c r="I57" s="148"/>
    </row>
    <row r="58" spans="1:12" ht="11.9" customHeight="1" thickBot="1">
      <c r="A58" s="641"/>
      <c r="B58" s="156" t="s">
        <v>72</v>
      </c>
      <c r="C58" s="166"/>
      <c r="D58" s="137" t="s">
        <v>50</v>
      </c>
      <c r="E58" s="137" t="s">
        <v>50</v>
      </c>
      <c r="F58" s="137" t="s">
        <v>50</v>
      </c>
      <c r="G58" s="137" t="s">
        <v>50</v>
      </c>
      <c r="H58" s="211" t="str">
        <f t="shared" si="0"/>
        <v/>
      </c>
      <c r="I58" s="148"/>
    </row>
    <row r="59" spans="1:12" s="10" customFormat="1" ht="12" customHeight="1">
      <c r="A59" s="53" t="str">
        <f>Titles!$A$12</f>
        <v>1 Data for 2023, 2024 and 2025 based on 2021 Census Definitions.</v>
      </c>
      <c r="B59" s="84"/>
      <c r="C59" s="356"/>
      <c r="D59" s="317"/>
      <c r="E59" s="54"/>
      <c r="F59" s="317"/>
      <c r="G59" s="317"/>
      <c r="H59" s="357"/>
      <c r="I59" s="227"/>
      <c r="J59" s="227"/>
      <c r="K59" s="299"/>
      <c r="L59" s="11"/>
    </row>
    <row r="60" spans="1:12" s="12" customFormat="1" ht="11.5">
      <c r="A60" s="593" t="s">
        <v>114</v>
      </c>
      <c r="B60" s="306"/>
      <c r="C60" s="306"/>
      <c r="D60" s="306"/>
      <c r="E60" s="350"/>
      <c r="F60" s="304"/>
      <c r="G60" s="304"/>
      <c r="H60" s="304"/>
      <c r="I60" s="77"/>
    </row>
    <row r="61" spans="1:12" s="305" customFormat="1" ht="10.9" customHeight="1">
      <c r="A61" s="594" t="str">
        <f>Titles!$A$10</f>
        <v>Source: CMHC Starts and Completion Survey, Market Absorption Survey</v>
      </c>
      <c r="B61" s="306"/>
      <c r="C61" s="306"/>
      <c r="D61" s="306"/>
      <c r="E61" s="319"/>
      <c r="F61" s="306"/>
      <c r="G61" s="306"/>
      <c r="H61" s="306"/>
    </row>
    <row r="62" spans="1:12" s="305" customFormat="1" ht="10.9" customHeight="1">
      <c r="A62" s="594"/>
      <c r="B62" s="169"/>
      <c r="C62" s="169"/>
      <c r="D62" s="169"/>
      <c r="E62" s="169"/>
      <c r="F62" s="319"/>
      <c r="G62" s="169"/>
      <c r="H62" s="169"/>
    </row>
    <row r="63" spans="1:12" s="352" customFormat="1" ht="10.9" customHeight="1">
      <c r="A63" s="595"/>
    </row>
    <row r="64" spans="1:12" ht="9.75" customHeight="1"/>
  </sheetData>
  <phoneticPr fontId="11" type="noConversion"/>
  <pageMargins left="0.78740157480314965" right="0.51181102362204722" top="0.51181102362204722" bottom="0.51181102362204722" header="0.51181102362204722" footer="0.51181102362204722"/>
  <pageSetup scale="98"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I11:IV11" numberStoredAsText="1"/>
    <ignoredError sqref="H23:H58" unlocked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63"/>
  <sheetViews>
    <sheetView showGridLines="0" showZeros="0" zoomScale="115" zoomScaleNormal="115" workbookViewId="0">
      <pane xSplit="3" ySplit="6" topLeftCell="D7" activePane="bottomRight" state="frozen"/>
      <selection pane="topRight"/>
      <selection pane="bottomLeft"/>
      <selection pane="bottomRight"/>
    </sheetView>
  </sheetViews>
  <sheetFormatPr defaultColWidth="11.53515625" defaultRowHeight="11.5"/>
  <cols>
    <col min="1" max="1" width="7.765625" style="601" customWidth="1"/>
    <col min="2" max="3" width="9.765625" style="12" customWidth="1"/>
    <col min="4" max="7" width="11.765625" style="12" customWidth="1"/>
    <col min="8" max="16384" width="11.53515625" style="12"/>
  </cols>
  <sheetData>
    <row r="1" spans="1:8" s="175" customFormat="1" ht="16.149999999999999" customHeight="1">
      <c r="A1" s="596" t="s">
        <v>126</v>
      </c>
      <c r="B1" s="416"/>
      <c r="C1" s="416"/>
      <c r="D1" s="416"/>
      <c r="E1" s="416"/>
      <c r="F1" s="416"/>
      <c r="G1" s="417"/>
      <c r="H1" s="174"/>
    </row>
    <row r="2" spans="1:8" s="175" customFormat="1" ht="16.149999999999999" customHeight="1">
      <c r="A2" s="597" t="s">
        <v>142</v>
      </c>
      <c r="B2" s="419"/>
      <c r="C2" s="419"/>
      <c r="D2" s="419"/>
      <c r="E2" s="419"/>
      <c r="F2" s="419"/>
      <c r="G2" s="420"/>
      <c r="H2" s="174"/>
    </row>
    <row r="3" spans="1:8" s="175" customFormat="1" ht="16.149999999999999" customHeight="1">
      <c r="A3" s="598"/>
      <c r="B3" s="462"/>
      <c r="C3" s="462"/>
      <c r="D3" s="462"/>
      <c r="E3" s="462"/>
      <c r="F3" s="462"/>
      <c r="G3" s="463"/>
      <c r="H3" s="174"/>
    </row>
    <row r="4" spans="1:8" s="175" customFormat="1" ht="16.149999999999999" customHeight="1" thickBot="1">
      <c r="A4" s="599"/>
      <c r="B4" s="464"/>
      <c r="C4" s="464"/>
      <c r="D4" s="464"/>
      <c r="E4" s="464"/>
      <c r="F4" s="464"/>
      <c r="G4" s="465"/>
      <c r="H4" s="174"/>
    </row>
    <row r="5" spans="1:8">
      <c r="A5" s="589"/>
      <c r="B5" s="89"/>
      <c r="C5" s="118"/>
      <c r="D5" s="120"/>
      <c r="E5" s="120"/>
      <c r="F5" s="120"/>
      <c r="G5" s="102"/>
      <c r="H5" s="77"/>
    </row>
    <row r="6" spans="1:8">
      <c r="A6" s="591" t="s">
        <v>93</v>
      </c>
      <c r="B6" s="139"/>
      <c r="C6" s="145"/>
      <c r="D6" s="146" t="s">
        <v>81</v>
      </c>
      <c r="E6" s="146" t="s">
        <v>82</v>
      </c>
      <c r="F6" s="146" t="s">
        <v>83</v>
      </c>
      <c r="G6" s="147" t="s">
        <v>44</v>
      </c>
      <c r="H6" s="77"/>
    </row>
    <row r="7" spans="1:8" ht="12" customHeight="1">
      <c r="A7" s="642" t="s">
        <v>262</v>
      </c>
      <c r="B7" s="149"/>
      <c r="C7" s="181"/>
      <c r="D7" s="188">
        <v>6164</v>
      </c>
      <c r="E7" s="188">
        <v>3991</v>
      </c>
      <c r="F7" s="188">
        <v>46632</v>
      </c>
      <c r="G7" s="215">
        <v>56787</v>
      </c>
      <c r="H7" s="77"/>
    </row>
    <row r="8" spans="1:8" ht="12" customHeight="1">
      <c r="A8" s="643" t="s">
        <v>267</v>
      </c>
      <c r="B8" s="139"/>
      <c r="C8" s="115"/>
      <c r="D8" s="366">
        <v>7139</v>
      </c>
      <c r="E8" s="366">
        <v>5679</v>
      </c>
      <c r="F8" s="366">
        <v>53184</v>
      </c>
      <c r="G8" s="310">
        <v>66002</v>
      </c>
      <c r="H8" s="77"/>
    </row>
    <row r="9" spans="1:8" ht="11.9" customHeight="1">
      <c r="A9" s="638">
        <v>2024</v>
      </c>
      <c r="B9" s="150" t="s">
        <v>57</v>
      </c>
      <c r="C9" s="159"/>
      <c r="D9" s="108">
        <v>4372</v>
      </c>
      <c r="E9" s="108">
        <v>3149</v>
      </c>
      <c r="F9" s="108">
        <v>43753</v>
      </c>
      <c r="G9" s="209">
        <v>51274</v>
      </c>
      <c r="H9" s="77"/>
    </row>
    <row r="10" spans="1:8" ht="11.9" customHeight="1">
      <c r="A10" s="271"/>
      <c r="B10" s="134" t="s">
        <v>58</v>
      </c>
      <c r="C10" s="160"/>
      <c r="D10" s="135">
        <v>6183.9999999999991</v>
      </c>
      <c r="E10" s="135">
        <v>3211.9999999999995</v>
      </c>
      <c r="F10" s="135">
        <v>44694</v>
      </c>
      <c r="G10" s="209">
        <v>54090</v>
      </c>
      <c r="H10" s="77"/>
    </row>
    <row r="11" spans="1:8" ht="11.9" customHeight="1">
      <c r="A11" s="271"/>
      <c r="B11" s="134" t="s">
        <v>59</v>
      </c>
      <c r="C11" s="160"/>
      <c r="D11" s="135">
        <v>7007</v>
      </c>
      <c r="E11" s="135">
        <v>5379</v>
      </c>
      <c r="F11" s="135">
        <v>46470</v>
      </c>
      <c r="G11" s="209">
        <v>58855.999999999993</v>
      </c>
      <c r="H11" s="77"/>
    </row>
    <row r="12" spans="1:8" ht="11.9" customHeight="1">
      <c r="A12" s="272"/>
      <c r="B12" s="151" t="s">
        <v>60</v>
      </c>
      <c r="C12" s="178"/>
      <c r="D12" s="135">
        <v>7106</v>
      </c>
      <c r="E12" s="135">
        <v>4272</v>
      </c>
      <c r="F12" s="135">
        <v>51369</v>
      </c>
      <c r="G12" s="212">
        <v>62747</v>
      </c>
      <c r="H12" s="77"/>
    </row>
    <row r="13" spans="1:8" ht="11.9" customHeight="1">
      <c r="A13" s="106">
        <v>2025</v>
      </c>
      <c r="B13" s="150" t="s">
        <v>57</v>
      </c>
      <c r="C13" s="159"/>
      <c r="D13" s="108">
        <v>5804</v>
      </c>
      <c r="E13" s="108">
        <v>5840.9999999999991</v>
      </c>
      <c r="F13" s="108">
        <v>51762</v>
      </c>
      <c r="G13" s="209">
        <v>63407</v>
      </c>
      <c r="H13" s="77"/>
    </row>
    <row r="14" spans="1:8" ht="11.9" customHeight="1">
      <c r="A14" s="271"/>
      <c r="B14" s="134" t="s">
        <v>58</v>
      </c>
      <c r="C14" s="160"/>
      <c r="D14" s="112">
        <v>6426</v>
      </c>
      <c r="E14" s="112">
        <v>5752.0000000000009</v>
      </c>
      <c r="F14" s="112">
        <v>62852.999999999993</v>
      </c>
      <c r="G14" s="209">
        <v>75030.999999999985</v>
      </c>
      <c r="H14" s="77"/>
    </row>
    <row r="15" spans="1:8" ht="11.9" customHeight="1">
      <c r="A15" s="271"/>
      <c r="B15" s="134" t="s">
        <v>59</v>
      </c>
      <c r="C15" s="160"/>
      <c r="D15" s="131">
        <v>8568.9999999999982</v>
      </c>
      <c r="E15" s="131">
        <v>5900</v>
      </c>
      <c r="F15" s="131">
        <v>49544</v>
      </c>
      <c r="G15" s="209">
        <v>64012.999999999993</v>
      </c>
      <c r="H15" s="77"/>
    </row>
    <row r="16" spans="1:8" ht="11.9" customHeight="1">
      <c r="A16" s="272"/>
      <c r="B16" s="151" t="s">
        <v>60</v>
      </c>
      <c r="C16" s="178"/>
      <c r="D16" s="136">
        <v>7762</v>
      </c>
      <c r="E16" s="136">
        <v>5119</v>
      </c>
      <c r="F16" s="136">
        <v>49092</v>
      </c>
      <c r="G16" s="212">
        <v>61973</v>
      </c>
      <c r="H16" s="77"/>
    </row>
    <row r="17" spans="1:8" ht="11.9" customHeight="1">
      <c r="A17" s="638">
        <v>2026</v>
      </c>
      <c r="B17" s="150" t="s">
        <v>57</v>
      </c>
      <c r="C17" s="159"/>
      <c r="D17" s="108"/>
      <c r="E17" s="108"/>
      <c r="F17" s="108"/>
      <c r="G17" s="209"/>
      <c r="H17" s="77"/>
    </row>
    <row r="18" spans="1:8" ht="11.9" customHeight="1">
      <c r="A18" s="271"/>
      <c r="B18" s="134" t="s">
        <v>58</v>
      </c>
      <c r="C18" s="160"/>
      <c r="D18" s="112"/>
      <c r="E18" s="112"/>
      <c r="F18" s="112"/>
      <c r="G18" s="209"/>
      <c r="H18" s="77"/>
    </row>
    <row r="19" spans="1:8" ht="11.9" customHeight="1">
      <c r="A19" s="271"/>
      <c r="B19" s="134" t="s">
        <v>59</v>
      </c>
      <c r="C19" s="160"/>
      <c r="D19" s="131"/>
      <c r="E19" s="131"/>
      <c r="F19" s="131"/>
      <c r="G19" s="209"/>
      <c r="H19" s="77"/>
    </row>
    <row r="20" spans="1:8" ht="11.9" customHeight="1">
      <c r="A20" s="273"/>
      <c r="B20" s="151" t="s">
        <v>60</v>
      </c>
      <c r="C20" s="178"/>
      <c r="D20" s="136"/>
      <c r="E20" s="136"/>
      <c r="F20" s="136"/>
      <c r="G20" s="212"/>
      <c r="H20" s="77"/>
    </row>
    <row r="21" spans="1:8" ht="11.9" customHeight="1">
      <c r="A21" s="106">
        <v>2024</v>
      </c>
      <c r="B21" s="107" t="s">
        <v>61</v>
      </c>
      <c r="C21" s="163"/>
      <c r="D21" s="180">
        <v>3909</v>
      </c>
      <c r="E21" s="180">
        <v>3164</v>
      </c>
      <c r="F21" s="180">
        <v>40836</v>
      </c>
      <c r="G21" s="208">
        <f>IF(SUM(B21:F21)=0,"",SUM(B21:F21))</f>
        <v>47909</v>
      </c>
      <c r="H21" s="77"/>
    </row>
    <row r="22" spans="1:8" ht="11.9" customHeight="1">
      <c r="A22" s="271"/>
      <c r="B22" s="111" t="s">
        <v>62</v>
      </c>
      <c r="C22" s="164"/>
      <c r="D22" s="135">
        <v>4297.0000000000009</v>
      </c>
      <c r="E22" s="135">
        <v>2798</v>
      </c>
      <c r="F22" s="135">
        <v>47498.999999999993</v>
      </c>
      <c r="G22" s="209">
        <f t="shared" ref="G22:G56" si="0">IF(SUM(B22:F22)=0,"",SUM(B22:F22))</f>
        <v>54593.999999999993</v>
      </c>
      <c r="H22" s="77"/>
    </row>
    <row r="23" spans="1:8" ht="11.9" customHeight="1">
      <c r="A23" s="274"/>
      <c r="B23" s="154" t="s">
        <v>63</v>
      </c>
      <c r="C23" s="164"/>
      <c r="D23" s="112">
        <v>4692</v>
      </c>
      <c r="E23" s="112">
        <v>3066.9999999999995</v>
      </c>
      <c r="F23" s="112">
        <v>39001.000000000007</v>
      </c>
      <c r="G23" s="209">
        <f t="shared" si="0"/>
        <v>46760.000000000007</v>
      </c>
      <c r="H23" s="77"/>
    </row>
    <row r="24" spans="1:8" ht="11.9" customHeight="1">
      <c r="A24" s="275"/>
      <c r="B24" s="111" t="s">
        <v>64</v>
      </c>
      <c r="C24" s="164"/>
      <c r="D24" s="112">
        <v>7551</v>
      </c>
      <c r="E24" s="112">
        <v>3959</v>
      </c>
      <c r="F24" s="112">
        <v>45456</v>
      </c>
      <c r="G24" s="209">
        <f t="shared" si="0"/>
        <v>56966</v>
      </c>
      <c r="H24" s="77"/>
    </row>
    <row r="25" spans="1:8" ht="11.9" customHeight="1">
      <c r="A25" s="271"/>
      <c r="B25" s="111" t="s">
        <v>65</v>
      </c>
      <c r="C25" s="164"/>
      <c r="D25" s="112">
        <v>2700.9999999999995</v>
      </c>
      <c r="E25" s="112">
        <v>1633</v>
      </c>
      <c r="F25" s="112">
        <v>48142</v>
      </c>
      <c r="G25" s="209">
        <f t="shared" si="0"/>
        <v>52476</v>
      </c>
      <c r="H25" s="77"/>
    </row>
    <row r="26" spans="1:8" ht="11.9" customHeight="1">
      <c r="A26" s="274"/>
      <c r="B26" s="154" t="s">
        <v>66</v>
      </c>
      <c r="C26" s="164"/>
      <c r="D26" s="112">
        <v>8461</v>
      </c>
      <c r="E26" s="112">
        <v>4303</v>
      </c>
      <c r="F26" s="112">
        <v>42072</v>
      </c>
      <c r="G26" s="209">
        <f t="shared" si="0"/>
        <v>54836</v>
      </c>
      <c r="H26" s="77"/>
    </row>
    <row r="27" spans="1:8" ht="11.9" customHeight="1">
      <c r="A27" s="274"/>
      <c r="B27" s="111" t="s">
        <v>67</v>
      </c>
      <c r="C27" s="164"/>
      <c r="D27" s="112">
        <v>8958</v>
      </c>
      <c r="E27" s="112">
        <v>7260</v>
      </c>
      <c r="F27" s="112">
        <v>49192.000000000007</v>
      </c>
      <c r="G27" s="209">
        <f t="shared" si="0"/>
        <v>65410.000000000007</v>
      </c>
      <c r="H27" s="77"/>
    </row>
    <row r="28" spans="1:8" ht="11.9" customHeight="1">
      <c r="A28" s="271"/>
      <c r="B28" s="111" t="s">
        <v>68</v>
      </c>
      <c r="C28" s="164"/>
      <c r="D28" s="135">
        <v>6961</v>
      </c>
      <c r="E28" s="135">
        <v>3179.9999999999995</v>
      </c>
      <c r="F28" s="135">
        <v>46296</v>
      </c>
      <c r="G28" s="209">
        <f t="shared" si="0"/>
        <v>56437</v>
      </c>
      <c r="H28" s="77"/>
    </row>
    <row r="29" spans="1:8" ht="11.9" customHeight="1">
      <c r="A29" s="271"/>
      <c r="B29" s="154" t="s">
        <v>69</v>
      </c>
      <c r="C29" s="164"/>
      <c r="D29" s="112">
        <v>5265</v>
      </c>
      <c r="E29" s="112">
        <v>5740</v>
      </c>
      <c r="F29" s="112">
        <v>44168</v>
      </c>
      <c r="G29" s="209">
        <f t="shared" si="0"/>
        <v>55173</v>
      </c>
      <c r="H29" s="77"/>
    </row>
    <row r="30" spans="1:8" ht="11.9" customHeight="1">
      <c r="A30" s="271"/>
      <c r="B30" s="154" t="s">
        <v>70</v>
      </c>
      <c r="C30" s="164"/>
      <c r="D30" s="112">
        <v>8428</v>
      </c>
      <c r="E30" s="112">
        <v>4334</v>
      </c>
      <c r="F30" s="112">
        <v>52382.000000000007</v>
      </c>
      <c r="G30" s="209">
        <f t="shared" si="0"/>
        <v>65144.000000000007</v>
      </c>
      <c r="H30" s="77"/>
    </row>
    <row r="31" spans="1:8" ht="11.9" customHeight="1">
      <c r="A31" s="271"/>
      <c r="B31" s="154" t="s">
        <v>71</v>
      </c>
      <c r="C31" s="164"/>
      <c r="D31" s="112">
        <v>7813</v>
      </c>
      <c r="E31" s="112">
        <v>4836</v>
      </c>
      <c r="F31" s="112">
        <v>59640</v>
      </c>
      <c r="G31" s="209">
        <f t="shared" si="0"/>
        <v>72289</v>
      </c>
      <c r="H31" s="77"/>
    </row>
    <row r="32" spans="1:8" ht="11.9" customHeight="1">
      <c r="A32" s="272"/>
      <c r="B32" s="142" t="s">
        <v>72</v>
      </c>
      <c r="C32" s="179"/>
      <c r="D32" s="140">
        <v>4969</v>
      </c>
      <c r="E32" s="140">
        <v>3349</v>
      </c>
      <c r="F32" s="140">
        <v>43565</v>
      </c>
      <c r="G32" s="212">
        <f t="shared" si="0"/>
        <v>51883</v>
      </c>
      <c r="H32" s="77"/>
    </row>
    <row r="33" spans="1:8" ht="11.9" customHeight="1">
      <c r="A33" s="638">
        <v>2025</v>
      </c>
      <c r="B33" s="107" t="s">
        <v>61</v>
      </c>
      <c r="C33" s="163"/>
      <c r="D33" s="180">
        <v>5309</v>
      </c>
      <c r="E33" s="180">
        <v>3152</v>
      </c>
      <c r="F33" s="180">
        <v>46301</v>
      </c>
      <c r="G33" s="204">
        <f t="shared" si="0"/>
        <v>54762</v>
      </c>
      <c r="H33" s="77"/>
    </row>
    <row r="34" spans="1:8" ht="11.9" customHeight="1">
      <c r="A34" s="271"/>
      <c r="B34" s="111" t="s">
        <v>62</v>
      </c>
      <c r="C34" s="164"/>
      <c r="D34" s="135">
        <v>4185.0000000000009</v>
      </c>
      <c r="E34" s="135">
        <v>6181</v>
      </c>
      <c r="F34" s="135">
        <v>54617</v>
      </c>
      <c r="G34" s="209">
        <f t="shared" si="0"/>
        <v>64983</v>
      </c>
      <c r="H34" s="77"/>
    </row>
    <row r="35" spans="1:8" ht="11.9" customHeight="1">
      <c r="A35" s="274"/>
      <c r="B35" s="154" t="s">
        <v>63</v>
      </c>
      <c r="C35" s="164"/>
      <c r="D35" s="112">
        <v>8023.9999999999991</v>
      </c>
      <c r="E35" s="112">
        <v>7842</v>
      </c>
      <c r="F35" s="112">
        <v>51486.000000000007</v>
      </c>
      <c r="G35" s="209">
        <f t="shared" si="0"/>
        <v>67352</v>
      </c>
      <c r="H35" s="77"/>
    </row>
    <row r="36" spans="1:8" ht="11.9" customHeight="1">
      <c r="A36" s="275"/>
      <c r="B36" s="111" t="s">
        <v>64</v>
      </c>
      <c r="C36" s="164"/>
      <c r="D36" s="112">
        <v>5951</v>
      </c>
      <c r="E36" s="112">
        <v>7541</v>
      </c>
      <c r="F36" s="112">
        <v>61605.000000000007</v>
      </c>
      <c r="G36" s="209">
        <f t="shared" si="0"/>
        <v>75097</v>
      </c>
      <c r="H36" s="77"/>
    </row>
    <row r="37" spans="1:8" ht="11.9" customHeight="1">
      <c r="A37" s="271"/>
      <c r="B37" s="111" t="s">
        <v>65</v>
      </c>
      <c r="C37" s="164"/>
      <c r="D37" s="112">
        <v>8324</v>
      </c>
      <c r="E37" s="112">
        <v>5346.9999999999991</v>
      </c>
      <c r="F37" s="112">
        <v>66954.000000000015</v>
      </c>
      <c r="G37" s="209">
        <f t="shared" si="0"/>
        <v>80625.000000000015</v>
      </c>
      <c r="H37" s="77"/>
    </row>
    <row r="38" spans="1:8" ht="11.9" customHeight="1">
      <c r="A38" s="274"/>
      <c r="B38" s="154" t="s">
        <v>66</v>
      </c>
      <c r="C38" s="164"/>
      <c r="D38" s="112">
        <v>5068</v>
      </c>
      <c r="E38" s="112">
        <v>4561</v>
      </c>
      <c r="F38" s="112">
        <v>61381</v>
      </c>
      <c r="G38" s="209">
        <f t="shared" si="0"/>
        <v>71010</v>
      </c>
      <c r="H38" s="77"/>
    </row>
    <row r="39" spans="1:8" ht="11.9" customHeight="1">
      <c r="A39" s="274"/>
      <c r="B39" s="111" t="s">
        <v>67</v>
      </c>
      <c r="C39" s="164"/>
      <c r="D39" s="112">
        <v>5548.9999999999991</v>
      </c>
      <c r="E39" s="112">
        <v>4682</v>
      </c>
      <c r="F39" s="112">
        <v>49528</v>
      </c>
      <c r="G39" s="209">
        <f t="shared" si="0"/>
        <v>59759</v>
      </c>
      <c r="H39" s="77"/>
    </row>
    <row r="40" spans="1:8" ht="11.9" customHeight="1">
      <c r="A40" s="271"/>
      <c r="B40" s="111" t="s">
        <v>68</v>
      </c>
      <c r="C40" s="164"/>
      <c r="D40" s="135">
        <v>9047</v>
      </c>
      <c r="E40" s="135">
        <v>4482</v>
      </c>
      <c r="F40" s="135">
        <v>45517</v>
      </c>
      <c r="G40" s="209">
        <f t="shared" si="0"/>
        <v>59046</v>
      </c>
      <c r="H40" s="77"/>
    </row>
    <row r="41" spans="1:8" ht="11.9" customHeight="1">
      <c r="A41" s="271"/>
      <c r="B41" s="154" t="s">
        <v>69</v>
      </c>
      <c r="C41" s="164"/>
      <c r="D41" s="112">
        <v>11036.999999999998</v>
      </c>
      <c r="E41" s="112">
        <v>8356</v>
      </c>
      <c r="F41" s="112">
        <v>53366</v>
      </c>
      <c r="G41" s="209">
        <f t="shared" si="0"/>
        <v>72759</v>
      </c>
      <c r="H41" s="77"/>
    </row>
    <row r="42" spans="1:8" ht="11.9" customHeight="1">
      <c r="A42" s="271"/>
      <c r="B42" s="154" t="s">
        <v>70</v>
      </c>
      <c r="C42" s="164"/>
      <c r="D42" s="112">
        <v>6029.9999999999991</v>
      </c>
      <c r="E42" s="112">
        <v>7516.9999999999991</v>
      </c>
      <c r="F42" s="112">
        <v>56357</v>
      </c>
      <c r="G42" s="209">
        <f t="shared" si="0"/>
        <v>69904</v>
      </c>
      <c r="H42" s="77"/>
    </row>
    <row r="43" spans="1:8" ht="11.9" customHeight="1">
      <c r="A43" s="271"/>
      <c r="B43" s="154" t="s">
        <v>71</v>
      </c>
      <c r="C43" s="164"/>
      <c r="D43" s="112">
        <v>13379.999999999998</v>
      </c>
      <c r="E43" s="112">
        <v>2890</v>
      </c>
      <c r="F43" s="112">
        <v>52067.000000000007</v>
      </c>
      <c r="G43" s="209">
        <f t="shared" si="0"/>
        <v>68337</v>
      </c>
      <c r="H43" s="77"/>
    </row>
    <row r="44" spans="1:8" ht="11.9" customHeight="1">
      <c r="A44" s="272"/>
      <c r="B44" s="142" t="s">
        <v>72</v>
      </c>
      <c r="C44" s="179"/>
      <c r="D44" s="140">
        <v>3679.9999999999995</v>
      </c>
      <c r="E44" s="140">
        <v>5455</v>
      </c>
      <c r="F44" s="140">
        <v>40986.000000000007</v>
      </c>
      <c r="G44" s="212">
        <f t="shared" si="0"/>
        <v>50121.000000000007</v>
      </c>
      <c r="H44" s="77"/>
    </row>
    <row r="45" spans="1:8" ht="11.9" customHeight="1">
      <c r="A45" s="106">
        <v>2026</v>
      </c>
      <c r="B45" s="107" t="s">
        <v>61</v>
      </c>
      <c r="C45" s="163"/>
      <c r="D45" s="180">
        <v>3621</v>
      </c>
      <c r="E45" s="180">
        <v>3263.0000000000005</v>
      </c>
      <c r="F45" s="180">
        <v>45083.999999999993</v>
      </c>
      <c r="G45" s="204">
        <f t="shared" si="0"/>
        <v>51967.999999999993</v>
      </c>
      <c r="H45" s="77"/>
    </row>
    <row r="46" spans="1:8" ht="11.9" customHeight="1">
      <c r="A46" s="116"/>
      <c r="B46" s="111" t="s">
        <v>62</v>
      </c>
      <c r="C46" s="164"/>
      <c r="D46" s="135">
        <v>8106.9999999999991</v>
      </c>
      <c r="E46" s="135">
        <v>5433</v>
      </c>
      <c r="F46" s="135">
        <v>42767</v>
      </c>
      <c r="G46" s="209">
        <f t="shared" si="0"/>
        <v>56307</v>
      </c>
      <c r="H46" s="77"/>
    </row>
    <row r="47" spans="1:8" ht="11.9" customHeight="1">
      <c r="A47" s="153"/>
      <c r="B47" s="154" t="s">
        <v>63</v>
      </c>
      <c r="C47" s="164"/>
      <c r="D47" s="112" t="s">
        <v>50</v>
      </c>
      <c r="E47" s="112" t="s">
        <v>50</v>
      </c>
      <c r="F47" s="112" t="s">
        <v>50</v>
      </c>
      <c r="G47" s="209" t="str">
        <f t="shared" si="0"/>
        <v/>
      </c>
      <c r="H47" s="77"/>
    </row>
    <row r="48" spans="1:8" ht="11.9" customHeight="1">
      <c r="A48" s="155"/>
      <c r="B48" s="111" t="s">
        <v>64</v>
      </c>
      <c r="C48" s="164"/>
      <c r="D48" s="112" t="s">
        <v>50</v>
      </c>
      <c r="E48" s="112" t="s">
        <v>50</v>
      </c>
      <c r="F48" s="112" t="s">
        <v>50</v>
      </c>
      <c r="G48" s="209" t="str">
        <f t="shared" si="0"/>
        <v/>
      </c>
      <c r="H48" s="77"/>
    </row>
    <row r="49" spans="1:12" ht="11.9" customHeight="1">
      <c r="A49" s="116"/>
      <c r="B49" s="111" t="s">
        <v>65</v>
      </c>
      <c r="C49" s="164"/>
      <c r="D49" s="112" t="s">
        <v>50</v>
      </c>
      <c r="E49" s="112" t="s">
        <v>50</v>
      </c>
      <c r="F49" s="112" t="s">
        <v>50</v>
      </c>
      <c r="G49" s="209" t="str">
        <f t="shared" si="0"/>
        <v/>
      </c>
      <c r="H49" s="77"/>
    </row>
    <row r="50" spans="1:12" ht="11.9" customHeight="1">
      <c r="A50" s="153"/>
      <c r="B50" s="154" t="s">
        <v>66</v>
      </c>
      <c r="C50" s="164"/>
      <c r="D50" s="112" t="s">
        <v>50</v>
      </c>
      <c r="E50" s="112" t="s">
        <v>50</v>
      </c>
      <c r="F50" s="112" t="s">
        <v>50</v>
      </c>
      <c r="G50" s="209" t="str">
        <f t="shared" si="0"/>
        <v/>
      </c>
      <c r="H50" s="77"/>
    </row>
    <row r="51" spans="1:12" ht="11.9" customHeight="1">
      <c r="A51" s="153"/>
      <c r="B51" s="111" t="s">
        <v>67</v>
      </c>
      <c r="C51" s="164"/>
      <c r="D51" s="112" t="s">
        <v>50</v>
      </c>
      <c r="E51" s="112" t="s">
        <v>50</v>
      </c>
      <c r="F51" s="112" t="s">
        <v>50</v>
      </c>
      <c r="G51" s="209" t="str">
        <f t="shared" si="0"/>
        <v/>
      </c>
      <c r="H51" s="77"/>
    </row>
    <row r="52" spans="1:12" ht="11.9" customHeight="1">
      <c r="A52" s="116"/>
      <c r="B52" s="111" t="s">
        <v>68</v>
      </c>
      <c r="C52" s="164"/>
      <c r="D52" s="135" t="s">
        <v>50</v>
      </c>
      <c r="E52" s="135" t="s">
        <v>50</v>
      </c>
      <c r="F52" s="135" t="s">
        <v>50</v>
      </c>
      <c r="G52" s="209" t="str">
        <f t="shared" si="0"/>
        <v/>
      </c>
      <c r="H52" s="77"/>
    </row>
    <row r="53" spans="1:12" ht="11.9" customHeight="1">
      <c r="A53" s="116"/>
      <c r="B53" s="154" t="s">
        <v>69</v>
      </c>
      <c r="C53" s="164"/>
      <c r="D53" s="112" t="s">
        <v>50</v>
      </c>
      <c r="E53" s="112" t="s">
        <v>50</v>
      </c>
      <c r="F53" s="112" t="s">
        <v>50</v>
      </c>
      <c r="G53" s="209" t="str">
        <f t="shared" si="0"/>
        <v/>
      </c>
      <c r="H53" s="77"/>
    </row>
    <row r="54" spans="1:12" ht="11.9" customHeight="1">
      <c r="A54" s="116"/>
      <c r="B54" s="154" t="s">
        <v>70</v>
      </c>
      <c r="C54" s="164"/>
      <c r="D54" s="112" t="s">
        <v>50</v>
      </c>
      <c r="E54" s="112" t="s">
        <v>50</v>
      </c>
      <c r="F54" s="112" t="s">
        <v>50</v>
      </c>
      <c r="G54" s="209" t="str">
        <f t="shared" si="0"/>
        <v/>
      </c>
      <c r="H54" s="77"/>
    </row>
    <row r="55" spans="1:12" ht="11.9" customHeight="1">
      <c r="A55" s="639"/>
      <c r="B55" s="154" t="s">
        <v>71</v>
      </c>
      <c r="C55" s="164"/>
      <c r="D55" s="112" t="s">
        <v>50</v>
      </c>
      <c r="E55" s="112" t="s">
        <v>50</v>
      </c>
      <c r="F55" s="112" t="s">
        <v>50</v>
      </c>
      <c r="G55" s="209" t="str">
        <f t="shared" si="0"/>
        <v/>
      </c>
      <c r="H55" s="77"/>
    </row>
    <row r="56" spans="1:12" ht="11.9" customHeight="1" thickBot="1">
      <c r="A56" s="641"/>
      <c r="B56" s="156" t="s">
        <v>72</v>
      </c>
      <c r="C56" s="166"/>
      <c r="D56" s="137" t="s">
        <v>50</v>
      </c>
      <c r="E56" s="137" t="s">
        <v>50</v>
      </c>
      <c r="F56" s="137" t="s">
        <v>50</v>
      </c>
      <c r="G56" s="211" t="str">
        <f t="shared" si="0"/>
        <v/>
      </c>
      <c r="H56" s="77"/>
    </row>
    <row r="57" spans="1:12" s="10" customFormat="1" ht="12" customHeight="1">
      <c r="A57" s="53" t="str">
        <f>Titles!$A$12</f>
        <v>1 Data for 2023, 2024 and 2025 based on 2021 Census Definitions.</v>
      </c>
      <c r="B57" s="84"/>
      <c r="C57" s="356"/>
      <c r="D57" s="317"/>
      <c r="E57" s="54"/>
      <c r="F57" s="317"/>
      <c r="G57" s="317"/>
      <c r="H57" s="362"/>
      <c r="I57" s="227"/>
      <c r="J57" s="227"/>
      <c r="K57" s="299"/>
      <c r="L57" s="11"/>
    </row>
    <row r="58" spans="1:12">
      <c r="A58" s="593" t="s">
        <v>114</v>
      </c>
      <c r="B58" s="306"/>
      <c r="C58" s="306"/>
      <c r="D58" s="306"/>
      <c r="E58" s="350"/>
      <c r="F58" s="304"/>
      <c r="G58" s="304"/>
      <c r="H58" s="357"/>
      <c r="I58" s="77"/>
    </row>
    <row r="59" spans="1:12" s="305" customFormat="1" ht="10.9" customHeight="1">
      <c r="A59" s="594" t="str">
        <f>Titles!$A$10</f>
        <v>Source: CMHC Starts and Completion Survey, Market Absorption Survey</v>
      </c>
      <c r="B59" s="306"/>
      <c r="C59" s="306"/>
      <c r="D59" s="306"/>
      <c r="E59" s="319"/>
      <c r="F59" s="306"/>
      <c r="G59" s="306"/>
      <c r="H59" s="304"/>
    </row>
    <row r="60" spans="1:12" s="305" customFormat="1" ht="10.9" customHeight="1">
      <c r="A60" s="580"/>
      <c r="H60" s="306"/>
    </row>
    <row r="61" spans="1:12" ht="12" customHeight="1">
      <c r="A61" s="53"/>
      <c r="B61" s="82"/>
      <c r="C61" s="356"/>
      <c r="D61" s="357"/>
      <c r="E61" s="357"/>
      <c r="F61" s="54"/>
      <c r="G61" s="90"/>
    </row>
    <row r="62" spans="1:12" ht="12" customHeight="1">
      <c r="A62" s="53"/>
      <c r="B62" s="168"/>
      <c r="C62" s="168"/>
      <c r="D62" s="168"/>
      <c r="E62" s="168"/>
      <c r="F62" s="54"/>
      <c r="G62" s="90"/>
    </row>
    <row r="63" spans="1:12" ht="9.75" customHeight="1">
      <c r="A63" s="600"/>
      <c r="B63" s="90"/>
      <c r="C63" s="90"/>
      <c r="D63" s="90"/>
      <c r="E63" s="167"/>
      <c r="F63" s="90"/>
      <c r="G63" s="90"/>
    </row>
  </sheetData>
  <phoneticPr fontId="11" type="noConversion"/>
  <pageMargins left="0.78740157480314965" right="0.51181102362204722" top="0.51181102362204722" bottom="0.51181102362204722" header="0.51181102362204722" footer="0.51181102362204722"/>
  <pageSetup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G21:G56" unlocked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62"/>
  <sheetViews>
    <sheetView showGridLines="0" showZeros="0" zoomScale="115" zoomScaleNormal="115" workbookViewId="0">
      <pane xSplit="3" ySplit="5" topLeftCell="D6" activePane="bottomRight" state="frozen"/>
      <selection pane="topRight"/>
      <selection pane="bottomLeft"/>
      <selection pane="bottomRight"/>
    </sheetView>
  </sheetViews>
  <sheetFormatPr defaultColWidth="11.53515625" defaultRowHeight="11.5"/>
  <cols>
    <col min="1" max="1" width="8.765625" style="582" customWidth="1"/>
    <col min="2" max="2" width="9.23046875" style="12" customWidth="1"/>
    <col min="3" max="3" width="8.765625" style="12" customWidth="1"/>
    <col min="4" max="8" width="9.765625" style="12" customWidth="1"/>
    <col min="9" max="16384" width="11.53515625" style="12"/>
  </cols>
  <sheetData>
    <row r="1" spans="1:9" s="175" customFormat="1" ht="16.149999999999999" customHeight="1">
      <c r="A1" s="602" t="s">
        <v>127</v>
      </c>
      <c r="B1" s="416"/>
      <c r="C1" s="416"/>
      <c r="D1" s="416"/>
      <c r="E1" s="416"/>
      <c r="F1" s="416"/>
      <c r="G1" s="416"/>
      <c r="H1" s="417"/>
      <c r="I1" s="174"/>
    </row>
    <row r="2" spans="1:9" s="175" customFormat="1" ht="16.149999999999999" customHeight="1">
      <c r="A2" s="603" t="s">
        <v>143</v>
      </c>
      <c r="B2" s="419"/>
      <c r="C2" s="419"/>
      <c r="D2" s="419"/>
      <c r="E2" s="419"/>
      <c r="F2" s="419"/>
      <c r="G2" s="419"/>
      <c r="H2" s="420"/>
      <c r="I2" s="174"/>
    </row>
    <row r="3" spans="1:9" s="175" customFormat="1" ht="16.149999999999999" customHeight="1" thickBot="1">
      <c r="A3" s="604"/>
      <c r="B3" s="456"/>
      <c r="C3" s="456"/>
      <c r="D3" s="456"/>
      <c r="E3" s="456"/>
      <c r="F3" s="456"/>
      <c r="G3" s="456"/>
      <c r="H3" s="457"/>
      <c r="I3" s="174"/>
    </row>
    <row r="4" spans="1:9">
      <c r="A4" s="605"/>
      <c r="B4" s="89"/>
      <c r="C4" s="118"/>
      <c r="D4" s="120"/>
      <c r="E4" s="120"/>
      <c r="F4" s="120"/>
      <c r="G4" s="120"/>
      <c r="H4" s="121"/>
      <c r="I4" s="77"/>
    </row>
    <row r="5" spans="1:9">
      <c r="A5" s="606" t="s">
        <v>93</v>
      </c>
      <c r="B5" s="139"/>
      <c r="C5" s="145"/>
      <c r="D5" s="146" t="s">
        <v>101</v>
      </c>
      <c r="E5" s="146" t="s">
        <v>19</v>
      </c>
      <c r="F5" s="146" t="s">
        <v>24</v>
      </c>
      <c r="G5" s="146" t="s">
        <v>34</v>
      </c>
      <c r="H5" s="663" t="s">
        <v>181</v>
      </c>
      <c r="I5" s="77"/>
    </row>
    <row r="6" spans="1:9" ht="13.5">
      <c r="A6" s="642" t="s">
        <v>262</v>
      </c>
      <c r="B6" s="176"/>
      <c r="C6" s="181"/>
      <c r="D6" s="188">
        <v>871</v>
      </c>
      <c r="E6" s="188">
        <v>5081</v>
      </c>
      <c r="F6" s="188">
        <v>2997</v>
      </c>
      <c r="G6" s="188">
        <v>767</v>
      </c>
      <c r="H6" s="215">
        <v>749</v>
      </c>
      <c r="I6" s="77"/>
    </row>
    <row r="7" spans="1:9" ht="13.5">
      <c r="A7" s="643" t="s">
        <v>267</v>
      </c>
      <c r="B7" s="142"/>
      <c r="C7" s="115"/>
      <c r="D7" s="366">
        <v>1037</v>
      </c>
      <c r="E7" s="366">
        <v>7000</v>
      </c>
      <c r="F7" s="366">
        <v>2800</v>
      </c>
      <c r="G7" s="366">
        <v>666</v>
      </c>
      <c r="H7" s="310">
        <v>1427</v>
      </c>
      <c r="I7" s="77"/>
    </row>
    <row r="8" spans="1:9">
      <c r="A8" s="638">
        <v>2024</v>
      </c>
      <c r="B8" s="107" t="s">
        <v>61</v>
      </c>
      <c r="C8" s="163"/>
      <c r="D8" s="188">
        <v>1072</v>
      </c>
      <c r="E8" s="188">
        <v>4279</v>
      </c>
      <c r="F8" s="188">
        <v>1385.0000000000002</v>
      </c>
      <c r="G8" s="188">
        <v>1334</v>
      </c>
      <c r="H8" s="215">
        <v>343</v>
      </c>
      <c r="I8" s="77"/>
    </row>
    <row r="9" spans="1:9">
      <c r="A9" s="116"/>
      <c r="B9" s="111" t="s">
        <v>62</v>
      </c>
      <c r="C9" s="164"/>
      <c r="D9" s="188">
        <v>519</v>
      </c>
      <c r="E9" s="188">
        <v>10979.000000000002</v>
      </c>
      <c r="F9" s="188">
        <v>2270</v>
      </c>
      <c r="G9" s="188">
        <v>1694.9999999999998</v>
      </c>
      <c r="H9" s="215">
        <v>320</v>
      </c>
      <c r="I9" s="77"/>
    </row>
    <row r="10" spans="1:9">
      <c r="A10" s="153"/>
      <c r="B10" s="154" t="s">
        <v>63</v>
      </c>
      <c r="C10" s="182"/>
      <c r="D10" s="188">
        <v>147.00000000000003</v>
      </c>
      <c r="E10" s="188">
        <v>6178.9999999999991</v>
      </c>
      <c r="F10" s="188">
        <v>430</v>
      </c>
      <c r="G10" s="188">
        <v>224</v>
      </c>
      <c r="H10" s="215">
        <v>325</v>
      </c>
      <c r="I10" s="77"/>
    </row>
    <row r="11" spans="1:9">
      <c r="A11" s="155"/>
      <c r="B11" s="111" t="s">
        <v>64</v>
      </c>
      <c r="C11" s="164"/>
      <c r="D11" s="188">
        <v>668</v>
      </c>
      <c r="E11" s="188">
        <v>5954.0000000000009</v>
      </c>
      <c r="F11" s="188">
        <v>2133</v>
      </c>
      <c r="G11" s="188">
        <v>206</v>
      </c>
      <c r="H11" s="215">
        <v>375</v>
      </c>
      <c r="I11" s="77"/>
    </row>
    <row r="12" spans="1:9">
      <c r="A12" s="116"/>
      <c r="B12" s="111" t="s">
        <v>65</v>
      </c>
      <c r="C12" s="164"/>
      <c r="D12" s="188">
        <v>585.00000000000011</v>
      </c>
      <c r="E12" s="188">
        <v>6411</v>
      </c>
      <c r="F12" s="188">
        <v>4625.9999999999991</v>
      </c>
      <c r="G12" s="188">
        <v>556</v>
      </c>
      <c r="H12" s="215">
        <v>1091</v>
      </c>
      <c r="I12" s="77"/>
    </row>
    <row r="13" spans="1:9">
      <c r="A13" s="153"/>
      <c r="B13" s="154" t="s">
        <v>66</v>
      </c>
      <c r="C13" s="182"/>
      <c r="D13" s="188">
        <v>1027.0000000000002</v>
      </c>
      <c r="E13" s="188">
        <v>9055</v>
      </c>
      <c r="F13" s="188">
        <v>2572</v>
      </c>
      <c r="G13" s="188">
        <v>1105</v>
      </c>
      <c r="H13" s="215">
        <v>795</v>
      </c>
      <c r="I13" s="77"/>
    </row>
    <row r="14" spans="1:9">
      <c r="A14" s="153"/>
      <c r="B14" s="111" t="s">
        <v>67</v>
      </c>
      <c r="C14" s="164"/>
      <c r="D14" s="188">
        <v>778</v>
      </c>
      <c r="E14" s="188">
        <v>3707</v>
      </c>
      <c r="F14" s="188">
        <v>2356</v>
      </c>
      <c r="G14" s="188">
        <v>593</v>
      </c>
      <c r="H14" s="215">
        <v>446</v>
      </c>
      <c r="I14" s="77"/>
    </row>
    <row r="15" spans="1:9">
      <c r="A15" s="116"/>
      <c r="B15" s="111" t="s">
        <v>68</v>
      </c>
      <c r="C15" s="164"/>
      <c r="D15" s="188">
        <v>1101.9999999999998</v>
      </c>
      <c r="E15" s="188">
        <v>2452</v>
      </c>
      <c r="F15" s="188">
        <v>5113</v>
      </c>
      <c r="G15" s="188">
        <v>492</v>
      </c>
      <c r="H15" s="215">
        <v>1892</v>
      </c>
      <c r="I15" s="77"/>
    </row>
    <row r="16" spans="1:9">
      <c r="A16" s="116"/>
      <c r="B16" s="154" t="s">
        <v>69</v>
      </c>
      <c r="C16" s="182"/>
      <c r="D16" s="188">
        <v>915</v>
      </c>
      <c r="E16" s="188">
        <v>2618.0000000000005</v>
      </c>
      <c r="F16" s="188">
        <v>5249.0000000000009</v>
      </c>
      <c r="G16" s="188">
        <v>1126</v>
      </c>
      <c r="H16" s="215">
        <v>653</v>
      </c>
      <c r="I16" s="77"/>
    </row>
    <row r="17" spans="1:9">
      <c r="A17" s="116"/>
      <c r="B17" s="154" t="s">
        <v>70</v>
      </c>
      <c r="C17" s="182"/>
      <c r="D17" s="188">
        <v>1192.0000000000002</v>
      </c>
      <c r="E17" s="188">
        <v>2061</v>
      </c>
      <c r="F17" s="188">
        <v>3228.9999999999995</v>
      </c>
      <c r="G17" s="188">
        <v>259</v>
      </c>
      <c r="H17" s="215">
        <v>815</v>
      </c>
      <c r="I17" s="77"/>
    </row>
    <row r="18" spans="1:9">
      <c r="A18" s="116"/>
      <c r="B18" s="154" t="s">
        <v>71</v>
      </c>
      <c r="C18" s="182"/>
      <c r="D18" s="188">
        <v>1365</v>
      </c>
      <c r="E18" s="188">
        <v>3640</v>
      </c>
      <c r="F18" s="188">
        <v>3034</v>
      </c>
      <c r="G18" s="188">
        <v>883</v>
      </c>
      <c r="H18" s="215">
        <v>1621</v>
      </c>
      <c r="I18" s="77"/>
    </row>
    <row r="19" spans="1:9">
      <c r="A19" s="144"/>
      <c r="B19" s="142" t="s">
        <v>72</v>
      </c>
      <c r="C19" s="183"/>
      <c r="D19" s="216">
        <v>829</v>
      </c>
      <c r="E19" s="216">
        <v>3796.0000000000005</v>
      </c>
      <c r="F19" s="216">
        <v>3512.0000000000005</v>
      </c>
      <c r="G19" s="216">
        <v>738</v>
      </c>
      <c r="H19" s="555">
        <v>313</v>
      </c>
      <c r="I19" s="77"/>
    </row>
    <row r="20" spans="1:9">
      <c r="A20" s="644">
        <v>2025</v>
      </c>
      <c r="B20" s="107" t="s">
        <v>61</v>
      </c>
      <c r="C20" s="163"/>
      <c r="D20" s="188">
        <v>825.00000000000011</v>
      </c>
      <c r="E20" s="188">
        <v>6391.9999999999991</v>
      </c>
      <c r="F20" s="188">
        <v>476.00000000000006</v>
      </c>
      <c r="G20" s="188">
        <v>544.99999999999989</v>
      </c>
      <c r="H20" s="215">
        <v>347.00000000000006</v>
      </c>
      <c r="I20" s="77"/>
    </row>
    <row r="21" spans="1:9">
      <c r="A21" s="116"/>
      <c r="B21" s="111" t="s">
        <v>62</v>
      </c>
      <c r="C21" s="164"/>
      <c r="D21" s="188">
        <v>851.99999999999989</v>
      </c>
      <c r="E21" s="188">
        <v>5673.9999999999991</v>
      </c>
      <c r="F21" s="188">
        <v>3432.0000000000005</v>
      </c>
      <c r="G21" s="188">
        <v>178</v>
      </c>
      <c r="H21" s="215">
        <v>344</v>
      </c>
      <c r="I21" s="77"/>
    </row>
    <row r="22" spans="1:9">
      <c r="A22" s="153"/>
      <c r="B22" s="154" t="s">
        <v>63</v>
      </c>
      <c r="C22" s="182"/>
      <c r="D22" s="188">
        <v>782</v>
      </c>
      <c r="E22" s="188">
        <v>5171</v>
      </c>
      <c r="F22" s="188">
        <v>2183</v>
      </c>
      <c r="G22" s="188">
        <v>362</v>
      </c>
      <c r="H22" s="215">
        <v>1532</v>
      </c>
      <c r="I22" s="77"/>
    </row>
    <row r="23" spans="1:9">
      <c r="A23" s="155"/>
      <c r="B23" s="111" t="s">
        <v>64</v>
      </c>
      <c r="C23" s="164"/>
      <c r="D23" s="188">
        <v>1355</v>
      </c>
      <c r="E23" s="188">
        <v>11011</v>
      </c>
      <c r="F23" s="188">
        <v>1740</v>
      </c>
      <c r="G23" s="188">
        <v>189</v>
      </c>
      <c r="H23" s="215">
        <v>216</v>
      </c>
      <c r="I23" s="77"/>
    </row>
    <row r="24" spans="1:9">
      <c r="A24" s="116"/>
      <c r="B24" s="111" t="s">
        <v>65</v>
      </c>
      <c r="C24" s="164"/>
      <c r="D24" s="188">
        <v>1008.9999999999999</v>
      </c>
      <c r="E24" s="188">
        <v>6643</v>
      </c>
      <c r="F24" s="188">
        <v>3434</v>
      </c>
      <c r="G24" s="188">
        <v>805.99999999999989</v>
      </c>
      <c r="H24" s="215">
        <v>1526</v>
      </c>
      <c r="I24" s="77"/>
    </row>
    <row r="25" spans="1:9">
      <c r="A25" s="153"/>
      <c r="B25" s="154" t="s">
        <v>66</v>
      </c>
      <c r="C25" s="182"/>
      <c r="D25" s="188">
        <v>976</v>
      </c>
      <c r="E25" s="188">
        <v>5536</v>
      </c>
      <c r="F25" s="188">
        <v>3732.9999999999995</v>
      </c>
      <c r="G25" s="188">
        <v>673</v>
      </c>
      <c r="H25" s="215">
        <v>2327</v>
      </c>
      <c r="I25" s="77"/>
    </row>
    <row r="26" spans="1:9">
      <c r="A26" s="153"/>
      <c r="B26" s="111" t="s">
        <v>67</v>
      </c>
      <c r="C26" s="164"/>
      <c r="D26" s="188">
        <v>1169</v>
      </c>
      <c r="E26" s="188">
        <v>14105</v>
      </c>
      <c r="F26" s="188">
        <v>4231</v>
      </c>
      <c r="G26" s="188">
        <v>768</v>
      </c>
      <c r="H26" s="215">
        <v>2934</v>
      </c>
      <c r="I26" s="77"/>
    </row>
    <row r="27" spans="1:9">
      <c r="A27" s="116"/>
      <c r="B27" s="111" t="s">
        <v>68</v>
      </c>
      <c r="C27" s="164"/>
      <c r="D27" s="188">
        <v>879.99999999999989</v>
      </c>
      <c r="E27" s="188">
        <v>5406</v>
      </c>
      <c r="F27" s="188">
        <v>4294</v>
      </c>
      <c r="G27" s="188">
        <v>429</v>
      </c>
      <c r="H27" s="215">
        <v>848</v>
      </c>
      <c r="I27" s="77"/>
    </row>
    <row r="28" spans="1:9">
      <c r="A28" s="116"/>
      <c r="B28" s="154" t="s">
        <v>69</v>
      </c>
      <c r="C28" s="182"/>
      <c r="D28" s="188">
        <v>1177</v>
      </c>
      <c r="E28" s="188">
        <v>4333</v>
      </c>
      <c r="F28" s="188">
        <v>1715.9999999999998</v>
      </c>
      <c r="G28" s="188">
        <v>1151</v>
      </c>
      <c r="H28" s="215">
        <v>698</v>
      </c>
      <c r="I28" s="77"/>
    </row>
    <row r="29" spans="1:9">
      <c r="A29" s="116"/>
      <c r="B29" s="154" t="s">
        <v>70</v>
      </c>
      <c r="C29" s="182"/>
      <c r="D29" s="188">
        <v>975.00000000000011</v>
      </c>
      <c r="E29" s="188">
        <v>6733.0000000000009</v>
      </c>
      <c r="F29" s="188">
        <v>1332.9999999999998</v>
      </c>
      <c r="G29" s="188">
        <v>458.00000000000006</v>
      </c>
      <c r="H29" s="215">
        <v>2381</v>
      </c>
      <c r="I29" s="77"/>
    </row>
    <row r="30" spans="1:9">
      <c r="A30" s="116"/>
      <c r="B30" s="154" t="s">
        <v>71</v>
      </c>
      <c r="C30" s="182"/>
      <c r="D30" s="188">
        <v>1557.9999999999998</v>
      </c>
      <c r="E30" s="188">
        <v>4782.9999999999991</v>
      </c>
      <c r="F30" s="188">
        <v>5362</v>
      </c>
      <c r="G30" s="188">
        <v>1582</v>
      </c>
      <c r="H30" s="215">
        <v>3150.0000000000005</v>
      </c>
      <c r="I30" s="77"/>
    </row>
    <row r="31" spans="1:9">
      <c r="A31" s="144"/>
      <c r="B31" s="142" t="s">
        <v>72</v>
      </c>
      <c r="C31" s="183"/>
      <c r="D31" s="216">
        <v>937</v>
      </c>
      <c r="E31" s="216">
        <v>8405.0000000000018</v>
      </c>
      <c r="F31" s="216">
        <v>1764.0000000000002</v>
      </c>
      <c r="G31" s="216">
        <v>848.00000000000011</v>
      </c>
      <c r="H31" s="555">
        <v>563</v>
      </c>
      <c r="I31" s="77"/>
    </row>
    <row r="32" spans="1:9">
      <c r="A32" s="644">
        <v>2026</v>
      </c>
      <c r="B32" s="107" t="s">
        <v>61</v>
      </c>
      <c r="C32" s="163"/>
      <c r="D32" s="188">
        <v>1012</v>
      </c>
      <c r="E32" s="188">
        <v>3504</v>
      </c>
      <c r="F32" s="188">
        <v>2335</v>
      </c>
      <c r="G32" s="188">
        <v>463</v>
      </c>
      <c r="H32" s="215">
        <v>1361</v>
      </c>
      <c r="I32" s="77"/>
    </row>
    <row r="33" spans="1:12">
      <c r="A33" s="271"/>
      <c r="B33" s="111" t="s">
        <v>62</v>
      </c>
      <c r="C33" s="164"/>
      <c r="D33" s="188">
        <v>842.00000000000011</v>
      </c>
      <c r="E33" s="188">
        <v>5137</v>
      </c>
      <c r="F33" s="188">
        <v>1462.0000000000002</v>
      </c>
      <c r="G33" s="188">
        <v>282</v>
      </c>
      <c r="H33" s="215">
        <v>212</v>
      </c>
      <c r="I33" s="77"/>
    </row>
    <row r="34" spans="1:12">
      <c r="A34" s="153"/>
      <c r="B34" s="154" t="s">
        <v>63</v>
      </c>
      <c r="C34" s="182"/>
      <c r="D34" s="188" t="s">
        <v>50</v>
      </c>
      <c r="E34" s="188" t="s">
        <v>50</v>
      </c>
      <c r="F34" s="188" t="s">
        <v>50</v>
      </c>
      <c r="G34" s="188" t="s">
        <v>50</v>
      </c>
      <c r="H34" s="215" t="s">
        <v>50</v>
      </c>
      <c r="I34" s="77"/>
    </row>
    <row r="35" spans="1:12">
      <c r="A35" s="155"/>
      <c r="B35" s="111" t="s">
        <v>64</v>
      </c>
      <c r="C35" s="164"/>
      <c r="D35" s="188" t="s">
        <v>50</v>
      </c>
      <c r="E35" s="188" t="s">
        <v>50</v>
      </c>
      <c r="F35" s="188" t="s">
        <v>50</v>
      </c>
      <c r="G35" s="188" t="s">
        <v>50</v>
      </c>
      <c r="H35" s="215" t="s">
        <v>50</v>
      </c>
      <c r="I35" s="77"/>
    </row>
    <row r="36" spans="1:12">
      <c r="A36" s="116"/>
      <c r="B36" s="111" t="s">
        <v>65</v>
      </c>
      <c r="C36" s="164"/>
      <c r="D36" s="188" t="s">
        <v>50</v>
      </c>
      <c r="E36" s="188" t="s">
        <v>50</v>
      </c>
      <c r="F36" s="188" t="s">
        <v>50</v>
      </c>
      <c r="G36" s="188" t="s">
        <v>50</v>
      </c>
      <c r="H36" s="215" t="s">
        <v>50</v>
      </c>
      <c r="I36" s="77"/>
    </row>
    <row r="37" spans="1:12">
      <c r="A37" s="153"/>
      <c r="B37" s="154" t="s">
        <v>66</v>
      </c>
      <c r="C37" s="182"/>
      <c r="D37" s="188" t="s">
        <v>50</v>
      </c>
      <c r="E37" s="188" t="s">
        <v>50</v>
      </c>
      <c r="F37" s="188" t="s">
        <v>50</v>
      </c>
      <c r="G37" s="188" t="s">
        <v>50</v>
      </c>
      <c r="H37" s="215" t="s">
        <v>50</v>
      </c>
      <c r="I37" s="77"/>
    </row>
    <row r="38" spans="1:12">
      <c r="A38" s="153"/>
      <c r="B38" s="111" t="s">
        <v>67</v>
      </c>
      <c r="C38" s="164"/>
      <c r="D38" s="188" t="s">
        <v>50</v>
      </c>
      <c r="E38" s="188" t="s">
        <v>50</v>
      </c>
      <c r="F38" s="188" t="s">
        <v>50</v>
      </c>
      <c r="G38" s="188" t="s">
        <v>50</v>
      </c>
      <c r="H38" s="215" t="s">
        <v>50</v>
      </c>
      <c r="I38" s="77"/>
    </row>
    <row r="39" spans="1:12">
      <c r="A39" s="116"/>
      <c r="B39" s="111" t="s">
        <v>68</v>
      </c>
      <c r="C39" s="164"/>
      <c r="D39" s="188" t="s">
        <v>50</v>
      </c>
      <c r="E39" s="188" t="s">
        <v>50</v>
      </c>
      <c r="F39" s="188" t="s">
        <v>50</v>
      </c>
      <c r="G39" s="188" t="s">
        <v>50</v>
      </c>
      <c r="H39" s="215" t="s">
        <v>50</v>
      </c>
      <c r="I39" s="77"/>
    </row>
    <row r="40" spans="1:12">
      <c r="A40" s="116"/>
      <c r="B40" s="154" t="s">
        <v>69</v>
      </c>
      <c r="C40" s="182"/>
      <c r="D40" s="188" t="s">
        <v>50</v>
      </c>
      <c r="E40" s="188" t="s">
        <v>50</v>
      </c>
      <c r="F40" s="188" t="s">
        <v>50</v>
      </c>
      <c r="G40" s="188" t="s">
        <v>50</v>
      </c>
      <c r="H40" s="215" t="s">
        <v>50</v>
      </c>
      <c r="I40" s="77"/>
    </row>
    <row r="41" spans="1:12">
      <c r="A41" s="116"/>
      <c r="B41" s="154" t="s">
        <v>70</v>
      </c>
      <c r="C41" s="182"/>
      <c r="D41" s="188" t="s">
        <v>50</v>
      </c>
      <c r="E41" s="188" t="s">
        <v>50</v>
      </c>
      <c r="F41" s="188" t="s">
        <v>50</v>
      </c>
      <c r="G41" s="188" t="s">
        <v>50</v>
      </c>
      <c r="H41" s="215" t="s">
        <v>50</v>
      </c>
      <c r="I41" s="77"/>
    </row>
    <row r="42" spans="1:12">
      <c r="A42" s="640"/>
      <c r="B42" s="154" t="s">
        <v>71</v>
      </c>
      <c r="C42" s="182"/>
      <c r="D42" s="373" t="s">
        <v>50</v>
      </c>
      <c r="E42" s="373" t="s">
        <v>50</v>
      </c>
      <c r="F42" s="373" t="s">
        <v>50</v>
      </c>
      <c r="G42" s="373" t="s">
        <v>50</v>
      </c>
      <c r="H42" s="374" t="s">
        <v>50</v>
      </c>
      <c r="I42" s="77"/>
    </row>
    <row r="43" spans="1:12" ht="12" thickBot="1">
      <c r="A43" s="645"/>
      <c r="B43" s="156" t="s">
        <v>72</v>
      </c>
      <c r="C43" s="184"/>
      <c r="D43" s="311" t="s">
        <v>50</v>
      </c>
      <c r="E43" s="311" t="s">
        <v>50</v>
      </c>
      <c r="F43" s="311" t="s">
        <v>50</v>
      </c>
      <c r="G43" s="311" t="s">
        <v>50</v>
      </c>
      <c r="H43" s="312" t="s">
        <v>50</v>
      </c>
      <c r="I43" s="77"/>
    </row>
    <row r="44" spans="1:12" s="10" customFormat="1" ht="12" customHeight="1">
      <c r="A44" s="609" t="str">
        <f>Titles!$A$12</f>
        <v>1 Data for 2023, 2024 and 2025 based on 2021 Census Definitions.</v>
      </c>
      <c r="B44" s="84"/>
      <c r="C44" s="356"/>
      <c r="D44" s="317"/>
      <c r="E44" s="54"/>
      <c r="F44" s="317"/>
      <c r="G44" s="317"/>
      <c r="H44" s="357"/>
      <c r="I44" s="227"/>
      <c r="J44" s="227"/>
      <c r="K44" s="299"/>
      <c r="L44" s="11"/>
    </row>
    <row r="45" spans="1:12">
      <c r="A45" s="593" t="s">
        <v>114</v>
      </c>
      <c r="B45" s="306"/>
      <c r="C45" s="306"/>
      <c r="D45" s="306"/>
      <c r="E45" s="350"/>
      <c r="F45" s="304"/>
      <c r="G45" s="304"/>
      <c r="H45" s="304"/>
      <c r="I45" s="77"/>
    </row>
    <row r="46" spans="1:12" s="305" customFormat="1" ht="10.9" customHeight="1">
      <c r="A46" s="610" t="str">
        <f>Titles!$A$10</f>
        <v>Source: CMHC Starts and Completion Survey, Market Absorption Survey</v>
      </c>
      <c r="B46" s="306"/>
      <c r="C46" s="306"/>
      <c r="D46" s="306"/>
      <c r="E46" s="319"/>
      <c r="F46" s="306"/>
      <c r="G46" s="306"/>
      <c r="H46" s="306"/>
    </row>
    <row r="47" spans="1:12" s="305" customFormat="1" ht="10.9" customHeight="1">
      <c r="A47" s="611"/>
    </row>
    <row r="48" spans="1:12" ht="12" customHeight="1">
      <c r="A48" s="612"/>
      <c r="B48" s="90"/>
      <c r="C48" s="90"/>
      <c r="D48" s="167"/>
      <c r="E48" s="319"/>
      <c r="F48" s="167"/>
      <c r="G48" s="192"/>
      <c r="H48" s="90"/>
      <c r="I48" s="13"/>
    </row>
    <row r="49" spans="1:9" ht="9.75" customHeight="1">
      <c r="A49" s="612"/>
      <c r="B49" s="90"/>
      <c r="C49" s="90"/>
      <c r="D49" s="167"/>
      <c r="E49" s="167"/>
      <c r="F49" s="167"/>
      <c r="G49" s="192"/>
      <c r="H49" s="90"/>
      <c r="I49" s="13"/>
    </row>
    <row r="61" spans="1:9">
      <c r="A61" s="609"/>
      <c r="B61" s="82"/>
      <c r="C61" s="356"/>
      <c r="D61" s="357"/>
      <c r="E61" s="357"/>
      <c r="F61" s="54"/>
    </row>
    <row r="62" spans="1:9" ht="15.5">
      <c r="A62" s="609"/>
      <c r="B62" s="168"/>
      <c r="C62" s="168"/>
      <c r="D62" s="168"/>
      <c r="E62" s="168"/>
      <c r="F62" s="54"/>
    </row>
  </sheetData>
  <phoneticPr fontId="11" type="noConversion"/>
  <pageMargins left="0.78740157480314965" right="0.51181102362204722" top="0.51181102362204722" bottom="0.51181102362204722" header="0.51181102362204722" footer="0.51181102362204722"/>
  <pageSetup orientation="portrait" r:id="rId1"/>
  <headerFooter alignWithMargins="0">
    <oddHeader>&amp;C&amp;"Calibri"&amp;10&amp;K000000 Protected External-Protégé Externe&amp;1#_x000D_</oddHeader>
    <oddFooter>&amp;C_x000D_&amp;1#&amp;"Calibri"&amp;10&amp;K000000 Protected External-Protégé Externe</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61"/>
  <sheetViews>
    <sheetView showZeros="0" zoomScale="115" zoomScaleNormal="115" workbookViewId="0">
      <pane xSplit="3" ySplit="5" topLeftCell="D6" activePane="bottomRight" state="frozen"/>
      <selection pane="topRight"/>
      <selection pane="bottomLeft"/>
      <selection pane="bottomRight"/>
    </sheetView>
  </sheetViews>
  <sheetFormatPr defaultColWidth="11.53515625" defaultRowHeight="11.5"/>
  <cols>
    <col min="1" max="1" width="8.765625" style="718" customWidth="1"/>
    <col min="2" max="2" width="9.23046875" style="696" customWidth="1"/>
    <col min="3" max="3" width="8.765625" style="696" customWidth="1"/>
    <col min="4" max="8" width="9.765625" style="696" customWidth="1"/>
    <col min="9" max="16384" width="11.53515625" style="696"/>
  </cols>
  <sheetData>
    <row r="1" spans="1:10" s="695" customFormat="1" ht="16.149999999999999" customHeight="1">
      <c r="A1" s="602" t="s">
        <v>208</v>
      </c>
      <c r="B1" s="416"/>
      <c r="C1" s="416"/>
      <c r="D1" s="416"/>
      <c r="E1" s="416"/>
      <c r="F1" s="416"/>
      <c r="G1" s="416"/>
      <c r="H1" s="416"/>
      <c r="I1" s="416"/>
      <c r="J1" s="417"/>
    </row>
    <row r="2" spans="1:10" s="695" customFormat="1" ht="16.149999999999999" customHeight="1">
      <c r="A2" s="603" t="s">
        <v>143</v>
      </c>
      <c r="B2" s="419"/>
      <c r="C2" s="419"/>
      <c r="D2" s="419"/>
      <c r="E2" s="419"/>
      <c r="F2" s="419"/>
      <c r="G2" s="419"/>
      <c r="H2" s="419"/>
      <c r="I2" s="419"/>
      <c r="J2" s="420"/>
    </row>
    <row r="3" spans="1:10" s="695" customFormat="1" ht="16.149999999999999" customHeight="1" thickBot="1">
      <c r="A3" s="604"/>
      <c r="B3" s="456"/>
      <c r="C3" s="456"/>
      <c r="D3" s="456"/>
      <c r="E3" s="456"/>
      <c r="F3" s="456"/>
      <c r="G3" s="456"/>
      <c r="H3" s="456"/>
      <c r="I3" s="456"/>
      <c r="J3" s="457"/>
    </row>
    <row r="4" spans="1:10">
      <c r="A4" s="605"/>
      <c r="B4" s="89"/>
      <c r="C4" s="118"/>
      <c r="D4" s="120"/>
      <c r="E4" s="120"/>
      <c r="F4" s="120"/>
      <c r="G4" s="120"/>
      <c r="H4" s="120"/>
      <c r="I4" s="120"/>
      <c r="J4" s="121"/>
    </row>
    <row r="5" spans="1:10">
      <c r="A5" s="606" t="s">
        <v>93</v>
      </c>
      <c r="B5" s="139"/>
      <c r="C5" s="145"/>
      <c r="D5" s="146" t="s">
        <v>31</v>
      </c>
      <c r="E5" s="146" t="s">
        <v>36</v>
      </c>
      <c r="F5" s="146" t="s">
        <v>39</v>
      </c>
      <c r="G5" s="146" t="s">
        <v>25</v>
      </c>
      <c r="H5" s="146" t="s">
        <v>106</v>
      </c>
      <c r="I5" s="146" t="s">
        <v>33</v>
      </c>
      <c r="J5" s="663" t="s">
        <v>180</v>
      </c>
    </row>
    <row r="6" spans="1:10" ht="13.5">
      <c r="A6" s="643" t="s">
        <v>262</v>
      </c>
      <c r="B6" s="176"/>
      <c r="C6" s="181"/>
      <c r="D6" s="188">
        <v>6905</v>
      </c>
      <c r="E6" s="188">
        <v>1932</v>
      </c>
      <c r="F6" s="188">
        <v>1684</v>
      </c>
      <c r="G6" s="188">
        <v>17570</v>
      </c>
      <c r="H6" s="188">
        <v>3655</v>
      </c>
      <c r="I6" s="188">
        <v>908</v>
      </c>
      <c r="J6" s="188">
        <v>1060</v>
      </c>
    </row>
    <row r="7" spans="1:10" ht="13.5">
      <c r="A7" s="643" t="s">
        <v>267</v>
      </c>
      <c r="B7" s="142"/>
      <c r="C7" s="115"/>
      <c r="D7" s="366">
        <v>8583</v>
      </c>
      <c r="E7" s="366">
        <v>1813</v>
      </c>
      <c r="F7" s="366">
        <v>1428</v>
      </c>
      <c r="G7" s="366">
        <v>27777</v>
      </c>
      <c r="H7" s="366">
        <v>2120</v>
      </c>
      <c r="I7" s="366">
        <v>797</v>
      </c>
      <c r="J7" s="366">
        <v>1389</v>
      </c>
    </row>
    <row r="8" spans="1:10">
      <c r="A8" s="638">
        <v>2024</v>
      </c>
      <c r="B8" s="107" t="s">
        <v>61</v>
      </c>
      <c r="C8" s="163"/>
      <c r="D8" s="188">
        <v>6963.9999999999991</v>
      </c>
      <c r="E8" s="188">
        <v>1082</v>
      </c>
      <c r="F8" s="188">
        <v>1202</v>
      </c>
      <c r="G8" s="188">
        <v>14975</v>
      </c>
      <c r="H8" s="188">
        <v>2514.0000000000005</v>
      </c>
      <c r="I8" s="188">
        <v>557</v>
      </c>
      <c r="J8" s="215">
        <v>182.00000000000003</v>
      </c>
    </row>
    <row r="9" spans="1:10">
      <c r="A9" s="116"/>
      <c r="B9" s="111" t="s">
        <v>62</v>
      </c>
      <c r="C9" s="164"/>
      <c r="D9" s="188">
        <v>3942.9999999999995</v>
      </c>
      <c r="E9" s="188">
        <v>550</v>
      </c>
      <c r="F9" s="188">
        <v>1754</v>
      </c>
      <c r="G9" s="188">
        <v>10437.999999999998</v>
      </c>
      <c r="H9" s="188">
        <v>1876</v>
      </c>
      <c r="I9" s="188">
        <v>485</v>
      </c>
      <c r="J9" s="215">
        <v>633</v>
      </c>
    </row>
    <row r="10" spans="1:10">
      <c r="A10" s="153"/>
      <c r="B10" s="154" t="s">
        <v>63</v>
      </c>
      <c r="C10" s="182"/>
      <c r="D10" s="188">
        <v>6633.0000000000009</v>
      </c>
      <c r="E10" s="188">
        <v>1904</v>
      </c>
      <c r="F10" s="188">
        <v>485</v>
      </c>
      <c r="G10" s="188">
        <v>9994</v>
      </c>
      <c r="H10" s="188">
        <v>2082</v>
      </c>
      <c r="I10" s="188">
        <v>687</v>
      </c>
      <c r="J10" s="215">
        <v>558</v>
      </c>
    </row>
    <row r="11" spans="1:10">
      <c r="A11" s="155"/>
      <c r="B11" s="111" t="s">
        <v>64</v>
      </c>
      <c r="C11" s="164"/>
      <c r="D11" s="188">
        <v>8177</v>
      </c>
      <c r="E11" s="188">
        <v>976.99999999999989</v>
      </c>
      <c r="F11" s="188">
        <v>392</v>
      </c>
      <c r="G11" s="188">
        <v>13763</v>
      </c>
      <c r="H11" s="188">
        <v>789.99999999999989</v>
      </c>
      <c r="I11" s="188">
        <v>108.99999999999999</v>
      </c>
      <c r="J11" s="215">
        <v>657</v>
      </c>
    </row>
    <row r="12" spans="1:10">
      <c r="A12" s="116"/>
      <c r="B12" s="111" t="s">
        <v>65</v>
      </c>
      <c r="C12" s="164"/>
      <c r="D12" s="188">
        <v>7580.9999999999991</v>
      </c>
      <c r="E12" s="188">
        <v>1440</v>
      </c>
      <c r="F12" s="188">
        <v>1773.0000000000002</v>
      </c>
      <c r="G12" s="188">
        <v>28275</v>
      </c>
      <c r="H12" s="188">
        <v>9857.9999999999982</v>
      </c>
      <c r="I12" s="188">
        <v>348</v>
      </c>
      <c r="J12" s="215">
        <v>847</v>
      </c>
    </row>
    <row r="13" spans="1:10">
      <c r="A13" s="153"/>
      <c r="B13" s="154" t="s">
        <v>66</v>
      </c>
      <c r="C13" s="182"/>
      <c r="D13" s="188">
        <v>9852</v>
      </c>
      <c r="E13" s="188">
        <v>2572</v>
      </c>
      <c r="F13" s="188">
        <v>1052</v>
      </c>
      <c r="G13" s="188">
        <v>34944</v>
      </c>
      <c r="H13" s="188">
        <v>1718</v>
      </c>
      <c r="I13" s="188">
        <v>447</v>
      </c>
      <c r="J13" s="215">
        <v>1134</v>
      </c>
    </row>
    <row r="14" spans="1:10">
      <c r="A14" s="153"/>
      <c r="B14" s="111" t="s">
        <v>67</v>
      </c>
      <c r="C14" s="164"/>
      <c r="D14" s="188">
        <v>7443.0000000000009</v>
      </c>
      <c r="E14" s="188">
        <v>776</v>
      </c>
      <c r="F14" s="188">
        <v>704</v>
      </c>
      <c r="G14" s="188">
        <v>8815</v>
      </c>
      <c r="H14" s="188">
        <v>3773</v>
      </c>
      <c r="I14" s="188">
        <v>450</v>
      </c>
      <c r="J14" s="215">
        <v>2650</v>
      </c>
    </row>
    <row r="15" spans="1:10">
      <c r="A15" s="116"/>
      <c r="B15" s="111" t="s">
        <v>68</v>
      </c>
      <c r="C15" s="164"/>
      <c r="D15" s="188">
        <v>5111</v>
      </c>
      <c r="E15" s="188">
        <v>1460</v>
      </c>
      <c r="F15" s="188">
        <v>1762</v>
      </c>
      <c r="G15" s="188">
        <v>15656</v>
      </c>
      <c r="H15" s="188">
        <v>1378</v>
      </c>
      <c r="I15" s="188">
        <v>398</v>
      </c>
      <c r="J15" s="215">
        <v>1300</v>
      </c>
    </row>
    <row r="16" spans="1:10">
      <c r="A16" s="116"/>
      <c r="B16" s="154" t="s">
        <v>69</v>
      </c>
      <c r="C16" s="182"/>
      <c r="D16" s="188">
        <v>7127</v>
      </c>
      <c r="E16" s="188">
        <v>3246</v>
      </c>
      <c r="F16" s="188">
        <v>7928</v>
      </c>
      <c r="G16" s="188">
        <v>13050.999999999998</v>
      </c>
      <c r="H16" s="188">
        <v>4453</v>
      </c>
      <c r="I16" s="188">
        <v>788</v>
      </c>
      <c r="J16" s="215">
        <v>1000</v>
      </c>
    </row>
    <row r="17" spans="1:10">
      <c r="A17" s="116"/>
      <c r="B17" s="154" t="s">
        <v>70</v>
      </c>
      <c r="C17" s="182"/>
      <c r="D17" s="188">
        <v>5031.0000000000009</v>
      </c>
      <c r="E17" s="188">
        <v>4282</v>
      </c>
      <c r="F17" s="188">
        <v>450.99999999999994</v>
      </c>
      <c r="G17" s="188">
        <v>16428</v>
      </c>
      <c r="H17" s="188">
        <v>8443</v>
      </c>
      <c r="I17" s="188">
        <v>3638</v>
      </c>
      <c r="J17" s="215">
        <v>1111</v>
      </c>
    </row>
    <row r="18" spans="1:10">
      <c r="A18" s="116"/>
      <c r="B18" s="154" t="s">
        <v>71</v>
      </c>
      <c r="C18" s="182"/>
      <c r="D18" s="188">
        <v>12734</v>
      </c>
      <c r="E18" s="188">
        <v>3182</v>
      </c>
      <c r="F18" s="188">
        <v>985</v>
      </c>
      <c r="G18" s="188">
        <v>31302</v>
      </c>
      <c r="H18" s="188">
        <v>4165</v>
      </c>
      <c r="I18" s="188">
        <v>1150.9999999999998</v>
      </c>
      <c r="J18" s="215">
        <v>1818</v>
      </c>
    </row>
    <row r="19" spans="1:10">
      <c r="A19" s="144"/>
      <c r="B19" s="142" t="s">
        <v>72</v>
      </c>
      <c r="C19" s="183"/>
      <c r="D19" s="216">
        <v>2016</v>
      </c>
      <c r="E19" s="216">
        <v>1710</v>
      </c>
      <c r="F19" s="216">
        <v>1718.9999999999998</v>
      </c>
      <c r="G19" s="216">
        <v>13353</v>
      </c>
      <c r="H19" s="216">
        <v>2821</v>
      </c>
      <c r="I19" s="216">
        <v>1847.9999999999998</v>
      </c>
      <c r="J19" s="555">
        <v>829</v>
      </c>
    </row>
    <row r="20" spans="1:10">
      <c r="A20" s="644">
        <v>2025</v>
      </c>
      <c r="B20" s="107" t="s">
        <v>61</v>
      </c>
      <c r="C20" s="163"/>
      <c r="D20" s="188">
        <v>6616</v>
      </c>
      <c r="E20" s="188">
        <v>794</v>
      </c>
      <c r="F20" s="188">
        <v>643</v>
      </c>
      <c r="G20" s="188">
        <v>31116.999999999996</v>
      </c>
      <c r="H20" s="188">
        <v>4106</v>
      </c>
      <c r="I20" s="188">
        <v>737</v>
      </c>
      <c r="J20" s="215">
        <v>452</v>
      </c>
    </row>
    <row r="21" spans="1:10">
      <c r="A21" s="116"/>
      <c r="B21" s="111" t="s">
        <v>62</v>
      </c>
      <c r="C21" s="164"/>
      <c r="D21" s="188">
        <v>6547</v>
      </c>
      <c r="E21" s="188">
        <v>1093</v>
      </c>
      <c r="F21" s="188">
        <v>473.00000000000006</v>
      </c>
      <c r="G21" s="188">
        <v>11094.000000000002</v>
      </c>
      <c r="H21" s="188">
        <v>1423</v>
      </c>
      <c r="I21" s="188">
        <v>915</v>
      </c>
      <c r="J21" s="215">
        <v>1022</v>
      </c>
    </row>
    <row r="22" spans="1:10">
      <c r="A22" s="153"/>
      <c r="B22" s="154" t="s">
        <v>63</v>
      </c>
      <c r="C22" s="182"/>
      <c r="D22" s="188">
        <v>5202.9999999999991</v>
      </c>
      <c r="E22" s="188">
        <v>1444</v>
      </c>
      <c r="F22" s="188">
        <v>1425</v>
      </c>
      <c r="G22" s="188">
        <v>23633</v>
      </c>
      <c r="H22" s="188">
        <v>1491</v>
      </c>
      <c r="I22" s="188">
        <v>586</v>
      </c>
      <c r="J22" s="215">
        <v>1643</v>
      </c>
    </row>
    <row r="23" spans="1:10">
      <c r="A23" s="155"/>
      <c r="B23" s="111" t="s">
        <v>64</v>
      </c>
      <c r="C23" s="164"/>
      <c r="D23" s="188">
        <v>8090</v>
      </c>
      <c r="E23" s="188">
        <v>2306</v>
      </c>
      <c r="F23" s="188">
        <v>978</v>
      </c>
      <c r="G23" s="188">
        <v>22884</v>
      </c>
      <c r="H23" s="188">
        <v>1883</v>
      </c>
      <c r="I23" s="188">
        <v>413</v>
      </c>
      <c r="J23" s="215">
        <v>940.00000000000011</v>
      </c>
    </row>
    <row r="24" spans="1:10">
      <c r="A24" s="116"/>
      <c r="B24" s="111" t="s">
        <v>65</v>
      </c>
      <c r="C24" s="164"/>
      <c r="D24" s="188">
        <v>24353</v>
      </c>
      <c r="E24" s="188">
        <v>887</v>
      </c>
      <c r="F24" s="188">
        <v>3886</v>
      </c>
      <c r="G24" s="188">
        <v>31620</v>
      </c>
      <c r="H24" s="188">
        <v>5037</v>
      </c>
      <c r="I24" s="188">
        <v>841</v>
      </c>
      <c r="J24" s="215">
        <v>1197</v>
      </c>
    </row>
    <row r="25" spans="1:10">
      <c r="A25" s="153"/>
      <c r="B25" s="154" t="s">
        <v>66</v>
      </c>
      <c r="C25" s="182"/>
      <c r="D25" s="188">
        <v>6993</v>
      </c>
      <c r="E25" s="188">
        <v>3338</v>
      </c>
      <c r="F25" s="188">
        <v>1226</v>
      </c>
      <c r="G25" s="188">
        <v>32021</v>
      </c>
      <c r="H25" s="188">
        <v>1870</v>
      </c>
      <c r="I25" s="188">
        <v>295</v>
      </c>
      <c r="J25" s="215">
        <v>2009</v>
      </c>
    </row>
    <row r="26" spans="1:10">
      <c r="A26" s="153"/>
      <c r="B26" s="111" t="s">
        <v>67</v>
      </c>
      <c r="C26" s="164"/>
      <c r="D26" s="188">
        <v>8267</v>
      </c>
      <c r="E26" s="188">
        <v>812</v>
      </c>
      <c r="F26" s="188">
        <v>755</v>
      </c>
      <c r="G26" s="188">
        <v>28215.999999999996</v>
      </c>
      <c r="H26" s="188">
        <v>3304.0000000000005</v>
      </c>
      <c r="I26" s="188">
        <v>805.99999999999989</v>
      </c>
      <c r="J26" s="215">
        <v>1234.9999999999998</v>
      </c>
    </row>
    <row r="27" spans="1:10">
      <c r="A27" s="116"/>
      <c r="B27" s="111" t="s">
        <v>68</v>
      </c>
      <c r="C27" s="164"/>
      <c r="D27" s="188">
        <v>4923</v>
      </c>
      <c r="E27" s="188">
        <v>624</v>
      </c>
      <c r="F27" s="188">
        <v>1567</v>
      </c>
      <c r="G27" s="188">
        <v>20376</v>
      </c>
      <c r="H27" s="188">
        <v>1726.0000000000002</v>
      </c>
      <c r="I27" s="188">
        <v>449.99999999999994</v>
      </c>
      <c r="J27" s="215">
        <v>1075</v>
      </c>
    </row>
    <row r="28" spans="1:10">
      <c r="A28" s="116"/>
      <c r="B28" s="154" t="s">
        <v>69</v>
      </c>
      <c r="C28" s="182"/>
      <c r="D28" s="188">
        <v>8417</v>
      </c>
      <c r="E28" s="188">
        <v>2849</v>
      </c>
      <c r="F28" s="188">
        <v>1288</v>
      </c>
      <c r="G28" s="188">
        <v>30951</v>
      </c>
      <c r="H28" s="188">
        <v>681</v>
      </c>
      <c r="I28" s="188">
        <v>921.99999999999989</v>
      </c>
      <c r="J28" s="215">
        <v>1724</v>
      </c>
    </row>
    <row r="29" spans="1:10">
      <c r="A29" s="116"/>
      <c r="B29" s="154" t="s">
        <v>70</v>
      </c>
      <c r="C29" s="182"/>
      <c r="D29" s="188">
        <v>12511</v>
      </c>
      <c r="E29" s="188">
        <v>1575</v>
      </c>
      <c r="F29" s="188">
        <v>2708</v>
      </c>
      <c r="G29" s="188">
        <v>33614.000000000007</v>
      </c>
      <c r="H29" s="188">
        <v>1303.9999999999998</v>
      </c>
      <c r="I29" s="188">
        <v>746</v>
      </c>
      <c r="J29" s="215">
        <v>1157</v>
      </c>
    </row>
    <row r="30" spans="1:10">
      <c r="A30" s="116"/>
      <c r="B30" s="154" t="s">
        <v>71</v>
      </c>
      <c r="C30" s="182"/>
      <c r="D30" s="373">
        <v>8999</v>
      </c>
      <c r="E30" s="373">
        <v>3478</v>
      </c>
      <c r="F30" s="373">
        <v>1391</v>
      </c>
      <c r="G30" s="373">
        <v>39026</v>
      </c>
      <c r="H30" s="373">
        <v>1273</v>
      </c>
      <c r="I30" s="373">
        <v>946</v>
      </c>
      <c r="J30" s="215">
        <v>2416.0000000000005</v>
      </c>
    </row>
    <row r="31" spans="1:10">
      <c r="A31" s="144"/>
      <c r="B31" s="142" t="s">
        <v>72</v>
      </c>
      <c r="C31" s="183"/>
      <c r="D31" s="277">
        <v>1923</v>
      </c>
      <c r="E31" s="277">
        <v>2570.0000000000005</v>
      </c>
      <c r="F31" s="277">
        <v>792.99999999999989</v>
      </c>
      <c r="G31" s="216">
        <v>29089</v>
      </c>
      <c r="H31" s="216">
        <v>1420.9999999999998</v>
      </c>
      <c r="I31" s="216">
        <v>1888</v>
      </c>
      <c r="J31" s="555">
        <v>1815.9999999999998</v>
      </c>
    </row>
    <row r="32" spans="1:10">
      <c r="A32" s="644">
        <v>2026</v>
      </c>
      <c r="B32" s="107" t="s">
        <v>61</v>
      </c>
      <c r="C32" s="163"/>
      <c r="D32" s="188">
        <v>3735.0000000000005</v>
      </c>
      <c r="E32" s="188">
        <v>727.00000000000011</v>
      </c>
      <c r="F32" s="188">
        <v>723.00000000000011</v>
      </c>
      <c r="G32" s="188">
        <v>17579</v>
      </c>
      <c r="H32" s="188">
        <v>2200.9999999999995</v>
      </c>
      <c r="I32" s="188">
        <v>1012.9999999999999</v>
      </c>
      <c r="J32" s="215">
        <v>919.99999999999989</v>
      </c>
    </row>
    <row r="33" spans="1:10">
      <c r="A33" s="116"/>
      <c r="B33" s="111" t="s">
        <v>62</v>
      </c>
      <c r="C33" s="164"/>
      <c r="D33" s="188">
        <v>8868</v>
      </c>
      <c r="E33" s="188">
        <v>2691</v>
      </c>
      <c r="F33" s="188">
        <v>242</v>
      </c>
      <c r="G33" s="188">
        <v>12998</v>
      </c>
      <c r="H33" s="188">
        <v>2855</v>
      </c>
      <c r="I33" s="188">
        <v>496</v>
      </c>
      <c r="J33" s="215">
        <v>652</v>
      </c>
    </row>
    <row r="34" spans="1:10">
      <c r="A34" s="153"/>
      <c r="B34" s="154" t="s">
        <v>63</v>
      </c>
      <c r="C34" s="182"/>
      <c r="D34" s="188" t="s">
        <v>50</v>
      </c>
      <c r="E34" s="188" t="s">
        <v>50</v>
      </c>
      <c r="F34" s="188" t="s">
        <v>50</v>
      </c>
      <c r="G34" s="188" t="s">
        <v>50</v>
      </c>
      <c r="H34" s="188" t="s">
        <v>50</v>
      </c>
      <c r="I34" s="188" t="s">
        <v>50</v>
      </c>
      <c r="J34" s="215" t="s">
        <v>50</v>
      </c>
    </row>
    <row r="35" spans="1:10">
      <c r="A35" s="275"/>
      <c r="B35" s="111" t="s">
        <v>64</v>
      </c>
      <c r="C35" s="164"/>
      <c r="D35" s="188" t="s">
        <v>50</v>
      </c>
      <c r="E35" s="188" t="s">
        <v>50</v>
      </c>
      <c r="F35" s="188" t="s">
        <v>50</v>
      </c>
      <c r="G35" s="188" t="s">
        <v>50</v>
      </c>
      <c r="H35" s="188" t="s">
        <v>50</v>
      </c>
      <c r="I35" s="188" t="s">
        <v>50</v>
      </c>
      <c r="J35" s="215" t="s">
        <v>50</v>
      </c>
    </row>
    <row r="36" spans="1:10">
      <c r="A36" s="116"/>
      <c r="B36" s="111" t="s">
        <v>65</v>
      </c>
      <c r="C36" s="164"/>
      <c r="D36" s="188" t="s">
        <v>50</v>
      </c>
      <c r="E36" s="188" t="s">
        <v>50</v>
      </c>
      <c r="F36" s="188" t="s">
        <v>50</v>
      </c>
      <c r="G36" s="188" t="s">
        <v>50</v>
      </c>
      <c r="H36" s="188" t="s">
        <v>50</v>
      </c>
      <c r="I36" s="188" t="s">
        <v>50</v>
      </c>
      <c r="J36" s="215" t="s">
        <v>50</v>
      </c>
    </row>
    <row r="37" spans="1:10">
      <c r="A37" s="153"/>
      <c r="B37" s="154" t="s">
        <v>66</v>
      </c>
      <c r="C37" s="182"/>
      <c r="D37" s="188" t="s">
        <v>50</v>
      </c>
      <c r="E37" s="188" t="s">
        <v>50</v>
      </c>
      <c r="F37" s="188" t="s">
        <v>50</v>
      </c>
      <c r="G37" s="188" t="s">
        <v>50</v>
      </c>
      <c r="H37" s="188" t="s">
        <v>50</v>
      </c>
      <c r="I37" s="188" t="s">
        <v>50</v>
      </c>
      <c r="J37" s="215" t="s">
        <v>50</v>
      </c>
    </row>
    <row r="38" spans="1:10">
      <c r="A38" s="153"/>
      <c r="B38" s="111" t="s">
        <v>67</v>
      </c>
      <c r="C38" s="164"/>
      <c r="D38" s="188" t="s">
        <v>50</v>
      </c>
      <c r="E38" s="188" t="s">
        <v>50</v>
      </c>
      <c r="F38" s="188" t="s">
        <v>50</v>
      </c>
      <c r="G38" s="188" t="s">
        <v>50</v>
      </c>
      <c r="H38" s="188" t="s">
        <v>50</v>
      </c>
      <c r="I38" s="188" t="s">
        <v>50</v>
      </c>
      <c r="J38" s="215" t="s">
        <v>50</v>
      </c>
    </row>
    <row r="39" spans="1:10">
      <c r="A39" s="116"/>
      <c r="B39" s="111" t="s">
        <v>68</v>
      </c>
      <c r="C39" s="164"/>
      <c r="D39" s="188" t="s">
        <v>50</v>
      </c>
      <c r="E39" s="188" t="s">
        <v>50</v>
      </c>
      <c r="F39" s="188" t="s">
        <v>50</v>
      </c>
      <c r="G39" s="188" t="s">
        <v>50</v>
      </c>
      <c r="H39" s="188" t="s">
        <v>50</v>
      </c>
      <c r="I39" s="188" t="s">
        <v>50</v>
      </c>
      <c r="J39" s="215" t="s">
        <v>50</v>
      </c>
    </row>
    <row r="40" spans="1:10">
      <c r="A40" s="116"/>
      <c r="B40" s="154" t="s">
        <v>69</v>
      </c>
      <c r="C40" s="182"/>
      <c r="D40" s="188" t="s">
        <v>50</v>
      </c>
      <c r="E40" s="188" t="s">
        <v>50</v>
      </c>
      <c r="F40" s="188" t="s">
        <v>50</v>
      </c>
      <c r="G40" s="188" t="s">
        <v>50</v>
      </c>
      <c r="H40" s="188" t="s">
        <v>50</v>
      </c>
      <c r="I40" s="188" t="s">
        <v>50</v>
      </c>
      <c r="J40" s="215" t="s">
        <v>50</v>
      </c>
    </row>
    <row r="41" spans="1:10">
      <c r="A41" s="116"/>
      <c r="B41" s="154" t="s">
        <v>70</v>
      </c>
      <c r="C41" s="182"/>
      <c r="D41" s="188" t="s">
        <v>50</v>
      </c>
      <c r="E41" s="188" t="s">
        <v>50</v>
      </c>
      <c r="F41" s="188" t="s">
        <v>50</v>
      </c>
      <c r="G41" s="188" t="s">
        <v>50</v>
      </c>
      <c r="H41" s="188" t="s">
        <v>50</v>
      </c>
      <c r="I41" s="188" t="s">
        <v>50</v>
      </c>
      <c r="J41" s="215" t="s">
        <v>50</v>
      </c>
    </row>
    <row r="42" spans="1:10">
      <c r="A42" s="116"/>
      <c r="B42" s="154" t="s">
        <v>71</v>
      </c>
      <c r="C42" s="182"/>
      <c r="D42" s="373" t="s">
        <v>50</v>
      </c>
      <c r="E42" s="373" t="s">
        <v>50</v>
      </c>
      <c r="F42" s="373" t="s">
        <v>50</v>
      </c>
      <c r="G42" s="373" t="s">
        <v>50</v>
      </c>
      <c r="H42" s="373" t="s">
        <v>50</v>
      </c>
      <c r="I42" s="373" t="s">
        <v>50</v>
      </c>
      <c r="J42" s="374" t="s">
        <v>50</v>
      </c>
    </row>
    <row r="43" spans="1:10" ht="12" thickBot="1">
      <c r="A43" s="645"/>
      <c r="B43" s="156" t="s">
        <v>72</v>
      </c>
      <c r="C43" s="184"/>
      <c r="D43" s="311" t="s">
        <v>50</v>
      </c>
      <c r="E43" s="213" t="s">
        <v>50</v>
      </c>
      <c r="F43" s="311" t="s">
        <v>50</v>
      </c>
      <c r="G43" s="311" t="s">
        <v>50</v>
      </c>
      <c r="H43" s="311" t="s">
        <v>50</v>
      </c>
      <c r="I43" s="311" t="s">
        <v>50</v>
      </c>
      <c r="J43" s="312" t="s">
        <v>50</v>
      </c>
    </row>
    <row r="44" spans="1:10">
      <c r="A44" s="698" t="str">
        <f>Titles!$A$12</f>
        <v>1 Data for 2023, 2024 and 2025 based on 2021 Census Definitions.</v>
      </c>
      <c r="B44" s="699"/>
      <c r="C44" s="700"/>
      <c r="D44" s="701"/>
      <c r="E44" s="702"/>
      <c r="F44" s="701"/>
      <c r="G44" s="701"/>
      <c r="H44" s="703"/>
      <c r="I44" s="704"/>
    </row>
    <row r="45" spans="1:10" s="697" customFormat="1" ht="10.9" customHeight="1">
      <c r="A45" s="705" t="s">
        <v>114</v>
      </c>
      <c r="B45" s="706"/>
      <c r="C45" s="706"/>
      <c r="D45" s="706"/>
      <c r="E45" s="707"/>
      <c r="F45" s="708"/>
      <c r="G45" s="708"/>
      <c r="H45" s="708"/>
    </row>
    <row r="46" spans="1:10" s="697" customFormat="1" ht="10.9" customHeight="1">
      <c r="A46" s="709" t="str">
        <f>Titles!$A$10</f>
        <v>Source: CMHC Starts and Completion Survey, Market Absorption Survey</v>
      </c>
      <c r="B46" s="706"/>
      <c r="C46" s="706"/>
      <c r="D46" s="706"/>
      <c r="E46" s="710"/>
      <c r="F46" s="706"/>
      <c r="G46" s="706"/>
      <c r="H46" s="706"/>
    </row>
    <row r="47" spans="1:10" ht="12" customHeight="1">
      <c r="A47" s="711"/>
      <c r="B47" s="712"/>
      <c r="C47" s="712"/>
      <c r="D47" s="713"/>
      <c r="E47" s="710"/>
      <c r="F47" s="713"/>
      <c r="G47" s="714"/>
      <c r="H47" s="712"/>
      <c r="I47" s="715"/>
    </row>
    <row r="48" spans="1:10" ht="9.75" customHeight="1">
      <c r="A48" s="711"/>
      <c r="B48" s="712"/>
      <c r="C48" s="712"/>
      <c r="D48" s="713"/>
      <c r="E48" s="713"/>
      <c r="F48" s="713"/>
      <c r="G48" s="714"/>
      <c r="H48" s="712"/>
      <c r="I48" s="715"/>
    </row>
    <row r="60" spans="1:6">
      <c r="A60" s="698"/>
      <c r="B60" s="716"/>
      <c r="C60" s="700"/>
      <c r="D60" s="703"/>
      <c r="E60" s="703"/>
      <c r="F60" s="702"/>
    </row>
    <row r="61" spans="1:6" ht="15.5">
      <c r="A61" s="698"/>
      <c r="B61" s="717"/>
      <c r="C61" s="717"/>
      <c r="D61" s="717"/>
      <c r="E61" s="717"/>
      <c r="F61" s="702"/>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61"/>
  <sheetViews>
    <sheetView showZeros="0" zoomScale="115" zoomScaleNormal="115" workbookViewId="0">
      <pane xSplit="3" ySplit="5" topLeftCell="D6" activePane="bottomRight" state="frozen"/>
      <selection pane="topRight"/>
      <selection pane="bottomLeft"/>
      <selection pane="bottomRight"/>
    </sheetView>
  </sheetViews>
  <sheetFormatPr defaultColWidth="11.53515625" defaultRowHeight="11.5"/>
  <cols>
    <col min="1" max="1" width="8.765625" style="718" customWidth="1"/>
    <col min="2" max="2" width="9.23046875" style="696" customWidth="1"/>
    <col min="3" max="3" width="8.765625" style="696" customWidth="1"/>
    <col min="4" max="9" width="9.765625" style="696" customWidth="1"/>
    <col min="10" max="16384" width="11.53515625" style="696"/>
  </cols>
  <sheetData>
    <row r="1" spans="1:10" s="695" customFormat="1" ht="16.149999999999999" customHeight="1">
      <c r="A1" s="602" t="s">
        <v>128</v>
      </c>
      <c r="B1" s="416"/>
      <c r="C1" s="416"/>
      <c r="D1" s="416"/>
      <c r="E1" s="416"/>
      <c r="F1" s="416"/>
      <c r="G1" s="416"/>
      <c r="H1" s="416"/>
      <c r="I1" s="417"/>
      <c r="J1" s="719"/>
    </row>
    <row r="2" spans="1:10" s="695" customFormat="1" ht="16.149999999999999" customHeight="1">
      <c r="A2" s="603" t="s">
        <v>143</v>
      </c>
      <c r="B2" s="419"/>
      <c r="C2" s="419"/>
      <c r="D2" s="419"/>
      <c r="E2" s="419"/>
      <c r="F2" s="419"/>
      <c r="G2" s="419"/>
      <c r="H2" s="419"/>
      <c r="I2" s="420"/>
      <c r="J2" s="719"/>
    </row>
    <row r="3" spans="1:10" s="695" customFormat="1" ht="16.149999999999999" customHeight="1" thickBot="1">
      <c r="A3" s="604"/>
      <c r="B3" s="425"/>
      <c r="C3" s="425"/>
      <c r="D3" s="425"/>
      <c r="E3" s="425"/>
      <c r="F3" s="425"/>
      <c r="G3" s="425"/>
      <c r="H3" s="425"/>
      <c r="I3" s="426"/>
      <c r="J3" s="719"/>
    </row>
    <row r="4" spans="1:10">
      <c r="A4" s="605"/>
      <c r="B4" s="89"/>
      <c r="C4" s="118"/>
      <c r="D4" s="120"/>
      <c r="E4" s="120"/>
      <c r="F4" s="120"/>
      <c r="G4" s="120"/>
      <c r="H4" s="120"/>
      <c r="I4" s="102"/>
      <c r="J4" s="704"/>
    </row>
    <row r="5" spans="1:10" ht="23">
      <c r="A5" s="606" t="s">
        <v>93</v>
      </c>
      <c r="B5" s="139"/>
      <c r="C5" s="145"/>
      <c r="D5" s="146" t="s">
        <v>107</v>
      </c>
      <c r="E5" s="146" t="s">
        <v>22</v>
      </c>
      <c r="F5" s="659" t="s">
        <v>185</v>
      </c>
      <c r="G5" s="146" t="s">
        <v>30</v>
      </c>
      <c r="H5" s="146" t="s">
        <v>26</v>
      </c>
      <c r="I5" s="147" t="s">
        <v>38</v>
      </c>
      <c r="J5" s="704"/>
    </row>
    <row r="6" spans="1:10" ht="13.5">
      <c r="A6" s="643" t="s">
        <v>262</v>
      </c>
      <c r="B6" s="142"/>
      <c r="C6" s="115"/>
      <c r="D6" s="366">
        <v>7894</v>
      </c>
      <c r="E6" s="366">
        <v>1015</v>
      </c>
      <c r="F6" s="366">
        <v>387</v>
      </c>
      <c r="G6" s="366">
        <v>313</v>
      </c>
      <c r="H6" s="366">
        <v>1591</v>
      </c>
      <c r="I6" s="310">
        <v>37718</v>
      </c>
      <c r="J6" s="704"/>
    </row>
    <row r="7" spans="1:10" ht="13.5">
      <c r="A7" s="643" t="s">
        <v>267</v>
      </c>
      <c r="B7" s="142"/>
      <c r="C7" s="115"/>
      <c r="D7" s="366">
        <v>10864</v>
      </c>
      <c r="E7" s="366">
        <v>1094</v>
      </c>
      <c r="F7" s="366">
        <v>636</v>
      </c>
      <c r="G7" s="366">
        <v>100</v>
      </c>
      <c r="H7" s="366">
        <v>1014</v>
      </c>
      <c r="I7" s="310">
        <v>26087</v>
      </c>
      <c r="J7" s="704"/>
    </row>
    <row r="8" spans="1:10">
      <c r="A8" s="638">
        <v>2024</v>
      </c>
      <c r="B8" s="107" t="s">
        <v>61</v>
      </c>
      <c r="C8" s="163"/>
      <c r="D8" s="188">
        <v>3370</v>
      </c>
      <c r="E8" s="188">
        <v>385</v>
      </c>
      <c r="F8" s="188">
        <v>205</v>
      </c>
      <c r="G8" s="188">
        <v>131</v>
      </c>
      <c r="H8" s="188">
        <v>4311</v>
      </c>
      <c r="I8" s="215">
        <v>49112</v>
      </c>
      <c r="J8" s="704"/>
    </row>
    <row r="9" spans="1:10">
      <c r="A9" s="116"/>
      <c r="B9" s="111" t="s">
        <v>62</v>
      </c>
      <c r="C9" s="164"/>
      <c r="D9" s="188">
        <v>5511</v>
      </c>
      <c r="E9" s="188">
        <v>485</v>
      </c>
      <c r="F9" s="188">
        <v>1169</v>
      </c>
      <c r="G9" s="188">
        <v>117</v>
      </c>
      <c r="H9" s="188">
        <v>1178</v>
      </c>
      <c r="I9" s="215">
        <v>57342</v>
      </c>
      <c r="J9" s="704"/>
    </row>
    <row r="10" spans="1:10">
      <c r="A10" s="153"/>
      <c r="B10" s="154" t="s">
        <v>63</v>
      </c>
      <c r="C10" s="182"/>
      <c r="D10" s="188">
        <v>6821.9999999999991</v>
      </c>
      <c r="E10" s="188">
        <v>251</v>
      </c>
      <c r="F10" s="188">
        <v>448</v>
      </c>
      <c r="G10" s="188">
        <v>174</v>
      </c>
      <c r="H10" s="188">
        <v>1289.9999999999998</v>
      </c>
      <c r="I10" s="215">
        <v>42221</v>
      </c>
      <c r="J10" s="704"/>
    </row>
    <row r="11" spans="1:10">
      <c r="A11" s="155"/>
      <c r="B11" s="111" t="s">
        <v>64</v>
      </c>
      <c r="C11" s="164"/>
      <c r="D11" s="188">
        <v>4723</v>
      </c>
      <c r="E11" s="188">
        <v>383.99999999999994</v>
      </c>
      <c r="F11" s="188">
        <v>294.00000000000006</v>
      </c>
      <c r="G11" s="188">
        <v>277</v>
      </c>
      <c r="H11" s="188">
        <v>1499</v>
      </c>
      <c r="I11" s="215">
        <v>37316</v>
      </c>
      <c r="J11" s="704"/>
    </row>
    <row r="12" spans="1:10">
      <c r="A12" s="116"/>
      <c r="B12" s="111" t="s">
        <v>65</v>
      </c>
      <c r="C12" s="164"/>
      <c r="D12" s="188">
        <v>8361</v>
      </c>
      <c r="E12" s="188">
        <v>382</v>
      </c>
      <c r="F12" s="188">
        <v>206.00000000000003</v>
      </c>
      <c r="G12" s="188">
        <v>131</v>
      </c>
      <c r="H12" s="188">
        <v>1875</v>
      </c>
      <c r="I12" s="215">
        <v>54390</v>
      </c>
      <c r="J12" s="704"/>
    </row>
    <row r="13" spans="1:10">
      <c r="A13" s="153"/>
      <c r="B13" s="154" t="s">
        <v>66</v>
      </c>
      <c r="C13" s="182"/>
      <c r="D13" s="188">
        <v>6225.0000000000009</v>
      </c>
      <c r="E13" s="188">
        <v>334</v>
      </c>
      <c r="F13" s="188">
        <v>256</v>
      </c>
      <c r="G13" s="188">
        <v>837</v>
      </c>
      <c r="H13" s="188">
        <v>2890</v>
      </c>
      <c r="I13" s="215">
        <v>34424</v>
      </c>
      <c r="J13" s="704"/>
    </row>
    <row r="14" spans="1:10">
      <c r="A14" s="153"/>
      <c r="B14" s="111" t="s">
        <v>67</v>
      </c>
      <c r="C14" s="164"/>
      <c r="D14" s="188">
        <v>10957</v>
      </c>
      <c r="E14" s="188">
        <v>264</v>
      </c>
      <c r="F14" s="188">
        <v>253</v>
      </c>
      <c r="G14" s="188">
        <v>107</v>
      </c>
      <c r="H14" s="188">
        <v>788</v>
      </c>
      <c r="I14" s="215">
        <v>65143</v>
      </c>
      <c r="J14" s="704"/>
    </row>
    <row r="15" spans="1:10">
      <c r="A15" s="116"/>
      <c r="B15" s="111" t="s">
        <v>68</v>
      </c>
      <c r="C15" s="164"/>
      <c r="D15" s="188">
        <v>7240</v>
      </c>
      <c r="E15" s="188">
        <v>1285.0000000000002</v>
      </c>
      <c r="F15" s="188">
        <v>362</v>
      </c>
      <c r="G15" s="188">
        <v>723.00000000000011</v>
      </c>
      <c r="H15" s="188">
        <v>3268</v>
      </c>
      <c r="I15" s="215">
        <v>24783</v>
      </c>
      <c r="J15" s="704"/>
    </row>
    <row r="16" spans="1:10">
      <c r="A16" s="116"/>
      <c r="B16" s="154" t="s">
        <v>69</v>
      </c>
      <c r="C16" s="182"/>
      <c r="D16" s="188">
        <v>17859</v>
      </c>
      <c r="E16" s="188">
        <v>319.99999999999994</v>
      </c>
      <c r="F16" s="188">
        <v>556</v>
      </c>
      <c r="G16" s="188">
        <v>267</v>
      </c>
      <c r="H16" s="188">
        <v>492</v>
      </c>
      <c r="I16" s="215">
        <v>19753</v>
      </c>
      <c r="J16" s="704"/>
    </row>
    <row r="17" spans="1:10">
      <c r="A17" s="116"/>
      <c r="B17" s="154" t="s">
        <v>70</v>
      </c>
      <c r="C17" s="182"/>
      <c r="D17" s="188">
        <v>7243</v>
      </c>
      <c r="E17" s="188">
        <v>2223</v>
      </c>
      <c r="F17" s="188">
        <v>314</v>
      </c>
      <c r="G17" s="188">
        <v>272</v>
      </c>
      <c r="H17" s="188">
        <v>553</v>
      </c>
      <c r="I17" s="215">
        <v>28820.999999999996</v>
      </c>
      <c r="J17" s="704"/>
    </row>
    <row r="18" spans="1:10">
      <c r="A18" s="116"/>
      <c r="B18" s="154" t="s">
        <v>71</v>
      </c>
      <c r="C18" s="182"/>
      <c r="D18" s="373">
        <v>9007</v>
      </c>
      <c r="E18" s="373">
        <v>261</v>
      </c>
      <c r="F18" s="373">
        <v>470</v>
      </c>
      <c r="G18" s="373">
        <v>730</v>
      </c>
      <c r="H18" s="373">
        <v>612.00000000000011</v>
      </c>
      <c r="I18" s="374">
        <v>26310</v>
      </c>
      <c r="J18" s="704"/>
    </row>
    <row r="19" spans="1:10">
      <c r="A19" s="144"/>
      <c r="B19" s="142" t="s">
        <v>72</v>
      </c>
      <c r="C19" s="183"/>
      <c r="D19" s="277">
        <v>7295.0000000000009</v>
      </c>
      <c r="E19" s="277">
        <v>5705</v>
      </c>
      <c r="F19" s="277">
        <v>311</v>
      </c>
      <c r="G19" s="277">
        <v>53</v>
      </c>
      <c r="H19" s="277">
        <v>446</v>
      </c>
      <c r="I19" s="310">
        <v>12078</v>
      </c>
      <c r="J19" s="704"/>
    </row>
    <row r="20" spans="1:10">
      <c r="A20" s="644">
        <v>2025</v>
      </c>
      <c r="B20" s="107" t="s">
        <v>61</v>
      </c>
      <c r="C20" s="163"/>
      <c r="D20" s="188">
        <v>6512</v>
      </c>
      <c r="E20" s="188">
        <v>2152</v>
      </c>
      <c r="F20" s="188">
        <v>181</v>
      </c>
      <c r="G20" s="188">
        <v>155</v>
      </c>
      <c r="H20" s="188">
        <v>213</v>
      </c>
      <c r="I20" s="215">
        <v>29231</v>
      </c>
      <c r="J20" s="704"/>
    </row>
    <row r="21" spans="1:10">
      <c r="A21" s="116"/>
      <c r="B21" s="111" t="s">
        <v>62</v>
      </c>
      <c r="C21" s="164"/>
      <c r="D21" s="188">
        <v>12671</v>
      </c>
      <c r="E21" s="188">
        <v>413</v>
      </c>
      <c r="F21" s="188">
        <v>2174</v>
      </c>
      <c r="G21" s="188">
        <v>350.00000000000006</v>
      </c>
      <c r="H21" s="188">
        <v>305</v>
      </c>
      <c r="I21" s="215">
        <v>18872</v>
      </c>
      <c r="J21" s="704"/>
    </row>
    <row r="22" spans="1:10">
      <c r="A22" s="153"/>
      <c r="B22" s="154" t="s">
        <v>63</v>
      </c>
      <c r="C22" s="182"/>
      <c r="D22" s="188">
        <v>7774</v>
      </c>
      <c r="E22" s="188">
        <v>245</v>
      </c>
      <c r="F22" s="188">
        <v>178</v>
      </c>
      <c r="G22" s="188">
        <v>50</v>
      </c>
      <c r="H22" s="188">
        <v>846.00000000000011</v>
      </c>
      <c r="I22" s="215">
        <v>14843</v>
      </c>
      <c r="J22" s="704"/>
    </row>
    <row r="23" spans="1:10">
      <c r="A23" s="155"/>
      <c r="B23" s="111" t="s">
        <v>64</v>
      </c>
      <c r="C23" s="164"/>
      <c r="D23" s="188">
        <v>17142</v>
      </c>
      <c r="E23" s="188">
        <v>617</v>
      </c>
      <c r="F23" s="188">
        <v>160</v>
      </c>
      <c r="G23" s="188">
        <v>14</v>
      </c>
      <c r="H23" s="188">
        <v>819.00000000000011</v>
      </c>
      <c r="I23" s="215">
        <v>28134</v>
      </c>
      <c r="J23" s="704"/>
    </row>
    <row r="24" spans="1:10">
      <c r="A24" s="116"/>
      <c r="B24" s="111" t="s">
        <v>65</v>
      </c>
      <c r="C24" s="164"/>
      <c r="D24" s="188">
        <v>7398</v>
      </c>
      <c r="E24" s="188">
        <v>241</v>
      </c>
      <c r="F24" s="188">
        <v>99</v>
      </c>
      <c r="G24" s="188">
        <v>69</v>
      </c>
      <c r="H24" s="188">
        <v>956</v>
      </c>
      <c r="I24" s="215">
        <v>42880</v>
      </c>
      <c r="J24" s="704"/>
    </row>
    <row r="25" spans="1:10">
      <c r="A25" s="153"/>
      <c r="B25" s="154" t="s">
        <v>66</v>
      </c>
      <c r="C25" s="182"/>
      <c r="D25" s="188">
        <v>12218</v>
      </c>
      <c r="E25" s="188">
        <v>6178</v>
      </c>
      <c r="F25" s="188">
        <v>435</v>
      </c>
      <c r="G25" s="188">
        <v>79</v>
      </c>
      <c r="H25" s="188">
        <v>734.99999999999989</v>
      </c>
      <c r="I25" s="215">
        <v>20716</v>
      </c>
      <c r="J25" s="704"/>
    </row>
    <row r="26" spans="1:10">
      <c r="A26" s="153"/>
      <c r="B26" s="111" t="s">
        <v>67</v>
      </c>
      <c r="C26" s="164"/>
      <c r="D26" s="188">
        <v>13945</v>
      </c>
      <c r="E26" s="188">
        <v>385</v>
      </c>
      <c r="F26" s="188">
        <v>1246</v>
      </c>
      <c r="G26" s="188">
        <v>276</v>
      </c>
      <c r="H26" s="188">
        <v>1163</v>
      </c>
      <c r="I26" s="215">
        <v>20073.999999999996</v>
      </c>
      <c r="J26" s="704"/>
    </row>
    <row r="27" spans="1:10">
      <c r="A27" s="116"/>
      <c r="B27" s="111" t="s">
        <v>68</v>
      </c>
      <c r="C27" s="164"/>
      <c r="D27" s="188">
        <v>4283</v>
      </c>
      <c r="E27" s="188">
        <v>246</v>
      </c>
      <c r="F27" s="188">
        <v>165</v>
      </c>
      <c r="G27" s="188">
        <v>83</v>
      </c>
      <c r="H27" s="188">
        <v>2797</v>
      </c>
      <c r="I27" s="215">
        <v>25236</v>
      </c>
      <c r="J27" s="704"/>
    </row>
    <row r="28" spans="1:10">
      <c r="A28" s="116"/>
      <c r="B28" s="154" t="s">
        <v>69</v>
      </c>
      <c r="C28" s="182"/>
      <c r="D28" s="188">
        <v>5571.9999999999991</v>
      </c>
      <c r="E28" s="188">
        <v>52</v>
      </c>
      <c r="F28" s="188">
        <v>1083</v>
      </c>
      <c r="G28" s="188">
        <v>117</v>
      </c>
      <c r="H28" s="188">
        <v>1054</v>
      </c>
      <c r="I28" s="215">
        <v>43354</v>
      </c>
      <c r="J28" s="704"/>
    </row>
    <row r="29" spans="1:10">
      <c r="A29" s="116"/>
      <c r="B29" s="154" t="s">
        <v>70</v>
      </c>
      <c r="C29" s="182"/>
      <c r="D29" s="188">
        <v>8524</v>
      </c>
      <c r="E29" s="188">
        <v>1105</v>
      </c>
      <c r="F29" s="188">
        <v>603</v>
      </c>
      <c r="G29" s="188">
        <v>78</v>
      </c>
      <c r="H29" s="188">
        <v>753</v>
      </c>
      <c r="I29" s="215">
        <v>16607</v>
      </c>
      <c r="J29" s="704"/>
    </row>
    <row r="30" spans="1:10">
      <c r="A30" s="116"/>
      <c r="B30" s="154" t="s">
        <v>71</v>
      </c>
      <c r="C30" s="182"/>
      <c r="D30" s="188">
        <v>11341.000000000002</v>
      </c>
      <c r="E30" s="188">
        <v>644</v>
      </c>
      <c r="F30" s="188">
        <v>362</v>
      </c>
      <c r="G30" s="188">
        <v>60</v>
      </c>
      <c r="H30" s="188">
        <v>1315</v>
      </c>
      <c r="I30" s="215">
        <v>23602.999999999996</v>
      </c>
      <c r="J30" s="704"/>
    </row>
    <row r="31" spans="1:10">
      <c r="A31" s="144"/>
      <c r="B31" s="142" t="s">
        <v>72</v>
      </c>
      <c r="C31" s="183"/>
      <c r="D31" s="216">
        <v>22709</v>
      </c>
      <c r="E31" s="216">
        <v>1010</v>
      </c>
      <c r="F31" s="216">
        <v>972</v>
      </c>
      <c r="G31" s="216">
        <v>86</v>
      </c>
      <c r="H31" s="216">
        <v>1064</v>
      </c>
      <c r="I31" s="217">
        <v>29735.999999999996</v>
      </c>
      <c r="J31" s="704"/>
    </row>
    <row r="32" spans="1:10">
      <c r="A32" s="644">
        <v>2026</v>
      </c>
      <c r="B32" s="107" t="s">
        <v>61</v>
      </c>
      <c r="C32" s="163"/>
      <c r="D32" s="188">
        <v>6753</v>
      </c>
      <c r="E32" s="188">
        <v>551.99999999999989</v>
      </c>
      <c r="F32" s="188">
        <v>175</v>
      </c>
      <c r="G32" s="188">
        <v>57</v>
      </c>
      <c r="H32" s="188">
        <v>1242</v>
      </c>
      <c r="I32" s="215">
        <v>28382</v>
      </c>
      <c r="J32" s="704"/>
    </row>
    <row r="33" spans="1:10">
      <c r="A33" s="116"/>
      <c r="B33" s="111" t="s">
        <v>62</v>
      </c>
      <c r="C33" s="164"/>
      <c r="D33" s="188">
        <v>14611.999999999998</v>
      </c>
      <c r="E33" s="188">
        <v>167</v>
      </c>
      <c r="F33" s="188">
        <v>19</v>
      </c>
      <c r="G33" s="188">
        <v>101</v>
      </c>
      <c r="H33" s="188">
        <v>1251</v>
      </c>
      <c r="I33" s="215">
        <v>13738</v>
      </c>
      <c r="J33" s="704"/>
    </row>
    <row r="34" spans="1:10">
      <c r="A34" s="153"/>
      <c r="B34" s="154" t="s">
        <v>63</v>
      </c>
      <c r="C34" s="182"/>
      <c r="D34" s="188" t="s">
        <v>50</v>
      </c>
      <c r="E34" s="188" t="s">
        <v>50</v>
      </c>
      <c r="F34" s="188" t="s">
        <v>50</v>
      </c>
      <c r="G34" s="188" t="s">
        <v>50</v>
      </c>
      <c r="H34" s="188" t="s">
        <v>50</v>
      </c>
      <c r="I34" s="215" t="s">
        <v>50</v>
      </c>
      <c r="J34" s="704"/>
    </row>
    <row r="35" spans="1:10">
      <c r="A35" s="155"/>
      <c r="B35" s="111" t="s">
        <v>64</v>
      </c>
      <c r="C35" s="164"/>
      <c r="D35" s="188" t="s">
        <v>50</v>
      </c>
      <c r="E35" s="188" t="s">
        <v>50</v>
      </c>
      <c r="F35" s="188" t="s">
        <v>50</v>
      </c>
      <c r="G35" s="188" t="s">
        <v>50</v>
      </c>
      <c r="H35" s="188" t="s">
        <v>50</v>
      </c>
      <c r="I35" s="215" t="s">
        <v>50</v>
      </c>
      <c r="J35" s="704"/>
    </row>
    <row r="36" spans="1:10">
      <c r="A36" s="116"/>
      <c r="B36" s="111" t="s">
        <v>65</v>
      </c>
      <c r="C36" s="164"/>
      <c r="D36" s="188" t="s">
        <v>50</v>
      </c>
      <c r="E36" s="188" t="s">
        <v>50</v>
      </c>
      <c r="F36" s="188" t="s">
        <v>50</v>
      </c>
      <c r="G36" s="188" t="s">
        <v>50</v>
      </c>
      <c r="H36" s="188" t="s">
        <v>50</v>
      </c>
      <c r="I36" s="215" t="s">
        <v>50</v>
      </c>
      <c r="J36" s="704"/>
    </row>
    <row r="37" spans="1:10">
      <c r="A37" s="153"/>
      <c r="B37" s="154" t="s">
        <v>66</v>
      </c>
      <c r="C37" s="182"/>
      <c r="D37" s="188" t="s">
        <v>50</v>
      </c>
      <c r="E37" s="188" t="s">
        <v>50</v>
      </c>
      <c r="F37" s="188" t="s">
        <v>50</v>
      </c>
      <c r="G37" s="188" t="s">
        <v>50</v>
      </c>
      <c r="H37" s="188" t="s">
        <v>50</v>
      </c>
      <c r="I37" s="215" t="s">
        <v>50</v>
      </c>
      <c r="J37" s="704"/>
    </row>
    <row r="38" spans="1:10">
      <c r="A38" s="153"/>
      <c r="B38" s="111" t="s">
        <v>67</v>
      </c>
      <c r="C38" s="164"/>
      <c r="D38" s="188" t="s">
        <v>50</v>
      </c>
      <c r="E38" s="188" t="s">
        <v>50</v>
      </c>
      <c r="F38" s="188" t="s">
        <v>50</v>
      </c>
      <c r="G38" s="188" t="s">
        <v>50</v>
      </c>
      <c r="H38" s="188" t="s">
        <v>50</v>
      </c>
      <c r="I38" s="215" t="s">
        <v>50</v>
      </c>
      <c r="J38" s="704"/>
    </row>
    <row r="39" spans="1:10">
      <c r="A39" s="116"/>
      <c r="B39" s="111" t="s">
        <v>68</v>
      </c>
      <c r="C39" s="164"/>
      <c r="D39" s="188" t="s">
        <v>50</v>
      </c>
      <c r="E39" s="188" t="s">
        <v>50</v>
      </c>
      <c r="F39" s="188" t="s">
        <v>50</v>
      </c>
      <c r="G39" s="188" t="s">
        <v>50</v>
      </c>
      <c r="H39" s="188" t="s">
        <v>50</v>
      </c>
      <c r="I39" s="215" t="s">
        <v>50</v>
      </c>
      <c r="J39" s="704"/>
    </row>
    <row r="40" spans="1:10">
      <c r="A40" s="640"/>
      <c r="B40" s="154" t="s">
        <v>69</v>
      </c>
      <c r="C40" s="182"/>
      <c r="D40" s="188" t="s">
        <v>50</v>
      </c>
      <c r="E40" s="188" t="s">
        <v>50</v>
      </c>
      <c r="F40" s="188" t="s">
        <v>50</v>
      </c>
      <c r="G40" s="188" t="s">
        <v>50</v>
      </c>
      <c r="H40" s="188" t="s">
        <v>50</v>
      </c>
      <c r="I40" s="215" t="s">
        <v>50</v>
      </c>
      <c r="J40" s="704"/>
    </row>
    <row r="41" spans="1:10">
      <c r="A41" s="640"/>
      <c r="B41" s="154" t="s">
        <v>70</v>
      </c>
      <c r="C41" s="182"/>
      <c r="D41" s="188" t="s">
        <v>50</v>
      </c>
      <c r="E41" s="188" t="s">
        <v>50</v>
      </c>
      <c r="F41" s="188" t="s">
        <v>50</v>
      </c>
      <c r="G41" s="188" t="s">
        <v>50</v>
      </c>
      <c r="H41" s="188" t="s">
        <v>50</v>
      </c>
      <c r="I41" s="215" t="s">
        <v>50</v>
      </c>
      <c r="J41" s="704"/>
    </row>
    <row r="42" spans="1:10">
      <c r="A42" s="640"/>
      <c r="B42" s="154" t="s">
        <v>71</v>
      </c>
      <c r="C42" s="182"/>
      <c r="D42" s="373" t="s">
        <v>50</v>
      </c>
      <c r="E42" s="373" t="s">
        <v>50</v>
      </c>
      <c r="F42" s="373" t="s">
        <v>50</v>
      </c>
      <c r="G42" s="373" t="s">
        <v>50</v>
      </c>
      <c r="H42" s="373" t="s">
        <v>50</v>
      </c>
      <c r="I42" s="374" t="s">
        <v>50</v>
      </c>
      <c r="J42" s="704"/>
    </row>
    <row r="43" spans="1:10" ht="12" thickBot="1">
      <c r="A43" s="645"/>
      <c r="B43" s="156" t="s">
        <v>72</v>
      </c>
      <c r="C43" s="184"/>
      <c r="D43" s="311" t="s">
        <v>50</v>
      </c>
      <c r="E43" s="311" t="s">
        <v>50</v>
      </c>
      <c r="F43" s="311" t="s">
        <v>50</v>
      </c>
      <c r="G43" s="311" t="s">
        <v>50</v>
      </c>
      <c r="H43" s="311" t="s">
        <v>50</v>
      </c>
      <c r="I43" s="312" t="s">
        <v>50</v>
      </c>
      <c r="J43" s="704"/>
    </row>
    <row r="44" spans="1:10">
      <c r="A44" s="698" t="str">
        <f>Titles!$A$12</f>
        <v>1 Data for 2023, 2024 and 2025 based on 2021 Census Definitions.</v>
      </c>
      <c r="B44" s="699"/>
      <c r="C44" s="700"/>
      <c r="D44" s="700"/>
      <c r="E44" s="700" t="s">
        <v>50</v>
      </c>
      <c r="F44" s="700"/>
      <c r="G44" s="701"/>
      <c r="H44" s="701"/>
      <c r="I44" s="704"/>
    </row>
    <row r="45" spans="1:10" s="697" customFormat="1">
      <c r="A45" s="705" t="s">
        <v>114</v>
      </c>
      <c r="B45" s="706"/>
      <c r="C45" s="706"/>
      <c r="D45" s="700"/>
      <c r="E45" s="700" t="s">
        <v>50</v>
      </c>
      <c r="F45" s="700"/>
      <c r="G45" s="708"/>
      <c r="H45" s="708"/>
    </row>
    <row r="46" spans="1:10" s="697" customFormat="1">
      <c r="A46" s="709" t="str">
        <f>Titles!$A$10</f>
        <v>Source: CMHC Starts and Completion Survey, Market Absorption Survey</v>
      </c>
      <c r="B46" s="706"/>
      <c r="C46" s="706"/>
      <c r="D46" s="706"/>
      <c r="E46" s="720" t="s">
        <v>50</v>
      </c>
      <c r="F46" s="710"/>
      <c r="G46" s="706"/>
      <c r="H46" s="706"/>
    </row>
    <row r="47" spans="1:10" ht="12" customHeight="1">
      <c r="A47" s="711"/>
      <c r="B47" s="712"/>
      <c r="C47" s="712"/>
      <c r="D47" s="713"/>
      <c r="E47" s="713"/>
      <c r="F47" s="713"/>
      <c r="G47" s="713"/>
      <c r="H47" s="714"/>
      <c r="I47" s="712"/>
      <c r="J47" s="715"/>
    </row>
    <row r="48" spans="1:10" ht="9.75" customHeight="1">
      <c r="A48" s="711"/>
      <c r="B48" s="712"/>
      <c r="C48" s="712"/>
      <c r="D48" s="713"/>
      <c r="E48" s="713"/>
      <c r="F48" s="713"/>
      <c r="G48" s="713"/>
      <c r="H48" s="714"/>
      <c r="I48" s="712"/>
      <c r="J48" s="715"/>
    </row>
    <row r="60" spans="1:7">
      <c r="A60" s="698"/>
      <c r="B60" s="716"/>
      <c r="C60" s="700"/>
      <c r="D60" s="703"/>
      <c r="E60" s="703"/>
      <c r="F60" s="703"/>
      <c r="G60" s="702"/>
    </row>
    <row r="61" spans="1:7" ht="15.5">
      <c r="A61" s="698"/>
      <c r="B61" s="717"/>
      <c r="C61" s="717"/>
      <c r="D61" s="717"/>
      <c r="E61" s="717"/>
      <c r="F61" s="717"/>
      <c r="G61" s="702"/>
    </row>
  </sheetData>
  <pageMargins left="0.7" right="0.7" top="0.75" bottom="0.75" header="0.3" footer="0.3"/>
  <pageSetup scale="88"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64"/>
  <sheetViews>
    <sheetView showZeros="0" zoomScale="115" zoomScaleNormal="115" workbookViewId="0">
      <pane xSplit="3" ySplit="5" topLeftCell="D6" activePane="bottomRight" state="frozen"/>
      <selection pane="topRight"/>
      <selection pane="bottomLeft"/>
      <selection pane="bottomRight"/>
    </sheetView>
  </sheetViews>
  <sheetFormatPr defaultColWidth="11.53515625" defaultRowHeight="11.5"/>
  <cols>
    <col min="1" max="1" width="8.765625" style="718" customWidth="1"/>
    <col min="2" max="2" width="9.23046875" style="696" customWidth="1"/>
    <col min="3" max="3" width="8.765625" style="696" customWidth="1"/>
    <col min="4" max="8" width="9.765625" style="696" customWidth="1"/>
    <col min="9" max="16384" width="11.53515625" style="696"/>
  </cols>
  <sheetData>
    <row r="1" spans="1:9" s="695" customFormat="1" ht="16.149999999999999" customHeight="1">
      <c r="A1" s="602" t="s">
        <v>129</v>
      </c>
      <c r="B1" s="416"/>
      <c r="C1" s="416"/>
      <c r="D1" s="416"/>
      <c r="E1" s="416"/>
      <c r="F1" s="416"/>
      <c r="G1" s="416"/>
      <c r="H1" s="417"/>
      <c r="I1" s="719"/>
    </row>
    <row r="2" spans="1:9" s="695" customFormat="1" ht="16.149999999999999" customHeight="1">
      <c r="A2" s="603" t="s">
        <v>143</v>
      </c>
      <c r="B2" s="419"/>
      <c r="C2" s="419"/>
      <c r="D2" s="419"/>
      <c r="E2" s="419"/>
      <c r="F2" s="419"/>
      <c r="G2" s="419"/>
      <c r="H2" s="420"/>
      <c r="I2" s="719"/>
    </row>
    <row r="3" spans="1:9" s="695" customFormat="1" ht="16.149999999999999" customHeight="1" thickBot="1">
      <c r="A3" s="604"/>
      <c r="B3" s="456"/>
      <c r="C3" s="456"/>
      <c r="D3" s="456"/>
      <c r="E3" s="456"/>
      <c r="F3" s="456"/>
      <c r="G3" s="456"/>
      <c r="H3" s="457"/>
      <c r="I3" s="719"/>
    </row>
    <row r="4" spans="1:9" ht="38.25" customHeight="1">
      <c r="A4" s="605" t="s">
        <v>93</v>
      </c>
      <c r="B4" s="89"/>
      <c r="C4" s="118"/>
      <c r="D4" s="466" t="s">
        <v>20</v>
      </c>
      <c r="E4" s="466" t="s">
        <v>108</v>
      </c>
      <c r="F4" s="466" t="s">
        <v>103</v>
      </c>
      <c r="G4" s="466" t="s">
        <v>15</v>
      </c>
      <c r="H4" s="558" t="s">
        <v>18</v>
      </c>
      <c r="I4" s="704"/>
    </row>
    <row r="5" spans="1:9">
      <c r="A5" s="606" t="s">
        <v>93</v>
      </c>
      <c r="B5" s="139"/>
      <c r="C5" s="145"/>
      <c r="D5" s="467"/>
      <c r="E5" s="467"/>
      <c r="F5" s="467"/>
      <c r="G5" s="467"/>
      <c r="H5" s="559"/>
      <c r="I5" s="704"/>
    </row>
    <row r="6" spans="1:9" ht="13.5">
      <c r="A6" s="744" t="s">
        <v>271</v>
      </c>
      <c r="B6" s="745"/>
      <c r="C6" s="746"/>
      <c r="D6" s="747">
        <v>2627</v>
      </c>
      <c r="E6" s="747">
        <v>1743</v>
      </c>
      <c r="F6" s="747">
        <v>3411</v>
      </c>
      <c r="G6" s="747">
        <v>359</v>
      </c>
      <c r="H6" s="752">
        <v>452</v>
      </c>
      <c r="I6" s="748"/>
    </row>
    <row r="7" spans="1:9" ht="13.5">
      <c r="A7" s="749" t="s">
        <v>267</v>
      </c>
      <c r="B7" s="750"/>
      <c r="C7" s="751"/>
      <c r="D7" s="747">
        <v>3146</v>
      </c>
      <c r="E7" s="747">
        <v>2514</v>
      </c>
      <c r="F7" s="747">
        <v>4306</v>
      </c>
      <c r="G7" s="747">
        <v>1650</v>
      </c>
      <c r="H7" s="752">
        <v>321</v>
      </c>
      <c r="I7" s="748"/>
    </row>
    <row r="8" spans="1:9">
      <c r="A8" s="638">
        <v>2024</v>
      </c>
      <c r="B8" s="107" t="s">
        <v>61</v>
      </c>
      <c r="C8" s="163"/>
      <c r="D8" s="188">
        <v>3255</v>
      </c>
      <c r="E8" s="188">
        <v>1383</v>
      </c>
      <c r="F8" s="188">
        <v>2331</v>
      </c>
      <c r="G8" s="188">
        <v>328</v>
      </c>
      <c r="H8" s="215">
        <v>54</v>
      </c>
      <c r="I8" s="704"/>
    </row>
    <row r="9" spans="1:9">
      <c r="A9" s="116"/>
      <c r="B9" s="111" t="s">
        <v>62</v>
      </c>
      <c r="C9" s="164"/>
      <c r="D9" s="188">
        <v>2566.0000000000005</v>
      </c>
      <c r="E9" s="188">
        <v>2050</v>
      </c>
      <c r="F9" s="188">
        <v>2066</v>
      </c>
      <c r="G9" s="188">
        <v>415.00000000000006</v>
      </c>
      <c r="H9" s="215">
        <v>1222.9999999999998</v>
      </c>
      <c r="I9" s="704"/>
    </row>
    <row r="10" spans="1:9">
      <c r="A10" s="153"/>
      <c r="B10" s="154" t="s">
        <v>63</v>
      </c>
      <c r="C10" s="182"/>
      <c r="D10" s="188">
        <v>714</v>
      </c>
      <c r="E10" s="188">
        <v>1601.9999999999998</v>
      </c>
      <c r="F10" s="188">
        <v>1461</v>
      </c>
      <c r="G10" s="188">
        <v>178</v>
      </c>
      <c r="H10" s="215">
        <v>128</v>
      </c>
      <c r="I10" s="704"/>
    </row>
    <row r="11" spans="1:9">
      <c r="A11" s="155"/>
      <c r="B11" s="111" t="s">
        <v>64</v>
      </c>
      <c r="C11" s="164"/>
      <c r="D11" s="188">
        <v>723.00000000000011</v>
      </c>
      <c r="E11" s="188">
        <v>1735</v>
      </c>
      <c r="F11" s="188">
        <v>6159.0000000000009</v>
      </c>
      <c r="G11" s="188">
        <v>176.00000000000003</v>
      </c>
      <c r="H11" s="215">
        <v>425</v>
      </c>
      <c r="I11" s="704"/>
    </row>
    <row r="12" spans="1:9">
      <c r="A12" s="116"/>
      <c r="B12" s="111" t="s">
        <v>65</v>
      </c>
      <c r="C12" s="164"/>
      <c r="D12" s="188">
        <v>5423</v>
      </c>
      <c r="E12" s="188">
        <v>3142</v>
      </c>
      <c r="F12" s="188">
        <v>802</v>
      </c>
      <c r="G12" s="188">
        <v>72</v>
      </c>
      <c r="H12" s="215">
        <v>91</v>
      </c>
      <c r="I12" s="704"/>
    </row>
    <row r="13" spans="1:9">
      <c r="A13" s="153"/>
      <c r="B13" s="154" t="s">
        <v>66</v>
      </c>
      <c r="C13" s="182"/>
      <c r="D13" s="188">
        <v>262</v>
      </c>
      <c r="E13" s="188">
        <v>885</v>
      </c>
      <c r="F13" s="188">
        <v>6871</v>
      </c>
      <c r="G13" s="188">
        <v>60</v>
      </c>
      <c r="H13" s="215">
        <v>414.00000000000006</v>
      </c>
      <c r="I13" s="704"/>
    </row>
    <row r="14" spans="1:9">
      <c r="A14" s="153"/>
      <c r="B14" s="111" t="s">
        <v>67</v>
      </c>
      <c r="C14" s="164"/>
      <c r="D14" s="188">
        <v>3784</v>
      </c>
      <c r="E14" s="188">
        <v>1644.0000000000002</v>
      </c>
      <c r="F14" s="188">
        <v>2847</v>
      </c>
      <c r="G14" s="188">
        <v>310</v>
      </c>
      <c r="H14" s="215">
        <v>1359</v>
      </c>
      <c r="I14" s="704"/>
    </row>
    <row r="15" spans="1:9">
      <c r="A15" s="116"/>
      <c r="B15" s="111" t="s">
        <v>68</v>
      </c>
      <c r="C15" s="164"/>
      <c r="D15" s="188">
        <v>1424</v>
      </c>
      <c r="E15" s="188">
        <v>2333.9999999999995</v>
      </c>
      <c r="F15" s="188">
        <v>3955</v>
      </c>
      <c r="G15" s="188">
        <v>263</v>
      </c>
      <c r="H15" s="215">
        <v>340</v>
      </c>
      <c r="I15" s="704"/>
    </row>
    <row r="16" spans="1:9">
      <c r="A16" s="116"/>
      <c r="B16" s="154" t="s">
        <v>69</v>
      </c>
      <c r="C16" s="182"/>
      <c r="D16" s="188">
        <v>5396.9999999999991</v>
      </c>
      <c r="E16" s="188">
        <v>743</v>
      </c>
      <c r="F16" s="188">
        <v>1764.0000000000002</v>
      </c>
      <c r="G16" s="188">
        <v>783.00000000000011</v>
      </c>
      <c r="H16" s="215">
        <v>614</v>
      </c>
      <c r="I16" s="704"/>
    </row>
    <row r="17" spans="1:9">
      <c r="A17" s="116"/>
      <c r="B17" s="154" t="s">
        <v>70</v>
      </c>
      <c r="C17" s="182"/>
      <c r="D17" s="188">
        <v>1476</v>
      </c>
      <c r="E17" s="188">
        <v>1130</v>
      </c>
      <c r="F17" s="188">
        <v>3714</v>
      </c>
      <c r="G17" s="188">
        <v>726</v>
      </c>
      <c r="H17" s="215">
        <v>109</v>
      </c>
      <c r="I17" s="704"/>
    </row>
    <row r="18" spans="1:9">
      <c r="A18" s="116"/>
      <c r="B18" s="154" t="s">
        <v>71</v>
      </c>
      <c r="C18" s="182"/>
      <c r="D18" s="188">
        <v>651</v>
      </c>
      <c r="E18" s="188">
        <v>3552</v>
      </c>
      <c r="F18" s="188">
        <v>942.00000000000011</v>
      </c>
      <c r="G18" s="188">
        <v>883</v>
      </c>
      <c r="H18" s="215">
        <v>444.99999999999994</v>
      </c>
      <c r="I18" s="704"/>
    </row>
    <row r="19" spans="1:9">
      <c r="A19" s="144"/>
      <c r="B19" s="142" t="s">
        <v>72</v>
      </c>
      <c r="C19" s="183"/>
      <c r="D19" s="216">
        <v>5819.0000000000009</v>
      </c>
      <c r="E19" s="216">
        <v>667</v>
      </c>
      <c r="F19" s="216">
        <v>7962</v>
      </c>
      <c r="G19" s="216">
        <v>133</v>
      </c>
      <c r="H19" s="217">
        <v>217</v>
      </c>
      <c r="I19" s="704"/>
    </row>
    <row r="20" spans="1:9">
      <c r="A20" s="644">
        <v>2025</v>
      </c>
      <c r="B20" s="107" t="s">
        <v>61</v>
      </c>
      <c r="C20" s="163"/>
      <c r="D20" s="188">
        <v>438.00000000000006</v>
      </c>
      <c r="E20" s="188">
        <v>1442</v>
      </c>
      <c r="F20" s="188">
        <v>2554.0000000000005</v>
      </c>
      <c r="G20" s="188">
        <v>3186</v>
      </c>
      <c r="H20" s="215">
        <v>54.000000000000007</v>
      </c>
      <c r="I20" s="704"/>
    </row>
    <row r="21" spans="1:9">
      <c r="A21" s="116"/>
      <c r="B21" s="111" t="s">
        <v>62</v>
      </c>
      <c r="C21" s="164"/>
      <c r="D21" s="188">
        <v>5176</v>
      </c>
      <c r="E21" s="188">
        <v>2533</v>
      </c>
      <c r="F21" s="188">
        <v>3549</v>
      </c>
      <c r="G21" s="188">
        <v>234</v>
      </c>
      <c r="H21" s="215">
        <v>43</v>
      </c>
      <c r="I21" s="704"/>
    </row>
    <row r="22" spans="1:9">
      <c r="A22" s="153"/>
      <c r="B22" s="154" t="s">
        <v>63</v>
      </c>
      <c r="C22" s="182"/>
      <c r="D22" s="188">
        <v>412.00000000000006</v>
      </c>
      <c r="E22" s="188">
        <v>1238</v>
      </c>
      <c r="F22" s="188">
        <v>4333</v>
      </c>
      <c r="G22" s="188">
        <v>1181</v>
      </c>
      <c r="H22" s="215">
        <v>46</v>
      </c>
      <c r="I22" s="704"/>
    </row>
    <row r="23" spans="1:9">
      <c r="A23" s="155"/>
      <c r="B23" s="111" t="s">
        <v>64</v>
      </c>
      <c r="C23" s="164"/>
      <c r="D23" s="188">
        <v>2526</v>
      </c>
      <c r="E23" s="188">
        <v>966</v>
      </c>
      <c r="F23" s="188">
        <v>3107.9999999999995</v>
      </c>
      <c r="G23" s="188">
        <v>3590</v>
      </c>
      <c r="H23" s="215">
        <v>126</v>
      </c>
      <c r="I23" s="704"/>
    </row>
    <row r="24" spans="1:9">
      <c r="A24" s="116"/>
      <c r="B24" s="111" t="s">
        <v>65</v>
      </c>
      <c r="C24" s="164"/>
      <c r="D24" s="188">
        <v>1044</v>
      </c>
      <c r="E24" s="188">
        <v>1373</v>
      </c>
      <c r="F24" s="188">
        <v>694.00000000000011</v>
      </c>
      <c r="G24" s="188">
        <v>4236</v>
      </c>
      <c r="H24" s="215">
        <v>222</v>
      </c>
      <c r="I24" s="704"/>
    </row>
    <row r="25" spans="1:9">
      <c r="A25" s="153"/>
      <c r="B25" s="154" t="s">
        <v>66</v>
      </c>
      <c r="C25" s="182"/>
      <c r="D25" s="188">
        <v>1421</v>
      </c>
      <c r="E25" s="188">
        <v>3865</v>
      </c>
      <c r="F25" s="188">
        <v>600</v>
      </c>
      <c r="G25" s="188">
        <v>2210</v>
      </c>
      <c r="H25" s="215">
        <v>137</v>
      </c>
      <c r="I25" s="704"/>
    </row>
    <row r="26" spans="1:9">
      <c r="A26" s="153"/>
      <c r="B26" s="111" t="s">
        <v>67</v>
      </c>
      <c r="C26" s="164"/>
      <c r="D26" s="188">
        <v>11139.999999999998</v>
      </c>
      <c r="E26" s="188">
        <v>3317</v>
      </c>
      <c r="F26" s="188">
        <v>4579</v>
      </c>
      <c r="G26" s="188">
        <v>213</v>
      </c>
      <c r="H26" s="215">
        <v>542.99999999999989</v>
      </c>
      <c r="I26" s="704"/>
    </row>
    <row r="27" spans="1:9">
      <c r="A27" s="116"/>
      <c r="B27" s="111" t="s">
        <v>68</v>
      </c>
      <c r="C27" s="164"/>
      <c r="D27" s="188">
        <v>2538.0000000000005</v>
      </c>
      <c r="E27" s="188">
        <v>2782</v>
      </c>
      <c r="F27" s="188">
        <v>7766.9999999999991</v>
      </c>
      <c r="G27" s="188">
        <v>2443</v>
      </c>
      <c r="H27" s="215">
        <v>55.999999999999993</v>
      </c>
      <c r="I27" s="704"/>
    </row>
    <row r="28" spans="1:9">
      <c r="A28" s="116"/>
      <c r="B28" s="154" t="s">
        <v>69</v>
      </c>
      <c r="C28" s="182"/>
      <c r="D28" s="188">
        <v>244</v>
      </c>
      <c r="E28" s="188">
        <v>409</v>
      </c>
      <c r="F28" s="188">
        <v>15216.000000000002</v>
      </c>
      <c r="G28" s="188">
        <v>1078</v>
      </c>
      <c r="H28" s="215">
        <v>505</v>
      </c>
      <c r="I28" s="704"/>
    </row>
    <row r="29" spans="1:9">
      <c r="A29" s="116"/>
      <c r="B29" s="154" t="s">
        <v>70</v>
      </c>
      <c r="C29" s="182"/>
      <c r="D29" s="188">
        <v>1011.0000000000001</v>
      </c>
      <c r="E29" s="188">
        <v>1788</v>
      </c>
      <c r="F29" s="188">
        <v>1534</v>
      </c>
      <c r="G29" s="188">
        <v>648</v>
      </c>
      <c r="H29" s="215">
        <v>124</v>
      </c>
      <c r="I29" s="704"/>
    </row>
    <row r="30" spans="1:9">
      <c r="A30" s="116"/>
      <c r="B30" s="154" t="s">
        <v>71</v>
      </c>
      <c r="C30" s="182"/>
      <c r="D30" s="188">
        <v>912.99999999999989</v>
      </c>
      <c r="E30" s="188">
        <v>2836.9999999999995</v>
      </c>
      <c r="F30" s="188">
        <v>966</v>
      </c>
      <c r="G30" s="188">
        <v>605</v>
      </c>
      <c r="H30" s="215">
        <v>163</v>
      </c>
      <c r="I30" s="704"/>
    </row>
    <row r="31" spans="1:9">
      <c r="A31" s="144"/>
      <c r="B31" s="142" t="s">
        <v>72</v>
      </c>
      <c r="C31" s="183"/>
      <c r="D31" s="216">
        <v>10791</v>
      </c>
      <c r="E31" s="216">
        <v>7743</v>
      </c>
      <c r="F31" s="216">
        <v>6771</v>
      </c>
      <c r="G31" s="216">
        <v>268</v>
      </c>
      <c r="H31" s="217">
        <v>1834</v>
      </c>
      <c r="I31" s="704"/>
    </row>
    <row r="32" spans="1:9">
      <c r="A32" s="644">
        <v>2026</v>
      </c>
      <c r="B32" s="107" t="s">
        <v>61</v>
      </c>
      <c r="C32" s="163"/>
      <c r="D32" s="188">
        <v>2138</v>
      </c>
      <c r="E32" s="188">
        <v>2115</v>
      </c>
      <c r="F32" s="188">
        <v>2432</v>
      </c>
      <c r="G32" s="188">
        <v>2965</v>
      </c>
      <c r="H32" s="215">
        <v>203</v>
      </c>
      <c r="I32" s="704"/>
    </row>
    <row r="33" spans="1:9">
      <c r="A33" s="116"/>
      <c r="B33" s="111" t="s">
        <v>62</v>
      </c>
      <c r="C33" s="164"/>
      <c r="D33" s="188">
        <v>6229.9999999999991</v>
      </c>
      <c r="E33" s="188">
        <v>4154</v>
      </c>
      <c r="F33" s="188">
        <v>12623</v>
      </c>
      <c r="G33" s="188">
        <v>391</v>
      </c>
      <c r="H33" s="215">
        <v>132</v>
      </c>
      <c r="I33" s="704"/>
    </row>
    <row r="34" spans="1:9">
      <c r="A34" s="153"/>
      <c r="B34" s="154" t="s">
        <v>63</v>
      </c>
      <c r="C34" s="182"/>
      <c r="D34" s="188" t="s">
        <v>50</v>
      </c>
      <c r="E34" s="188" t="s">
        <v>50</v>
      </c>
      <c r="F34" s="188" t="s">
        <v>50</v>
      </c>
      <c r="G34" s="188" t="s">
        <v>50</v>
      </c>
      <c r="H34" s="215" t="s">
        <v>50</v>
      </c>
      <c r="I34" s="704"/>
    </row>
    <row r="35" spans="1:9">
      <c r="A35" s="155"/>
      <c r="B35" s="111" t="s">
        <v>64</v>
      </c>
      <c r="C35" s="164"/>
      <c r="D35" s="188" t="s">
        <v>50</v>
      </c>
      <c r="E35" s="188" t="s">
        <v>50</v>
      </c>
      <c r="F35" s="188" t="s">
        <v>50</v>
      </c>
      <c r="G35" s="188" t="s">
        <v>50</v>
      </c>
      <c r="H35" s="215" t="s">
        <v>50</v>
      </c>
      <c r="I35" s="704"/>
    </row>
    <row r="36" spans="1:9">
      <c r="A36" s="116"/>
      <c r="B36" s="111" t="s">
        <v>65</v>
      </c>
      <c r="C36" s="164"/>
      <c r="D36" s="188" t="s">
        <v>50</v>
      </c>
      <c r="E36" s="188" t="s">
        <v>50</v>
      </c>
      <c r="F36" s="188" t="s">
        <v>50</v>
      </c>
      <c r="G36" s="188" t="s">
        <v>50</v>
      </c>
      <c r="H36" s="215" t="s">
        <v>50</v>
      </c>
      <c r="I36" s="704"/>
    </row>
    <row r="37" spans="1:9">
      <c r="A37" s="592"/>
      <c r="B37" s="154" t="s">
        <v>66</v>
      </c>
      <c r="C37" s="182"/>
      <c r="D37" s="188" t="s">
        <v>50</v>
      </c>
      <c r="E37" s="188" t="s">
        <v>50</v>
      </c>
      <c r="F37" s="188" t="s">
        <v>50</v>
      </c>
      <c r="G37" s="188" t="s">
        <v>50</v>
      </c>
      <c r="H37" s="215" t="s">
        <v>50</v>
      </c>
      <c r="I37" s="704"/>
    </row>
    <row r="38" spans="1:9">
      <c r="A38" s="592"/>
      <c r="B38" s="111" t="s">
        <v>67</v>
      </c>
      <c r="C38" s="164"/>
      <c r="D38" s="188" t="s">
        <v>50</v>
      </c>
      <c r="E38" s="188" t="s">
        <v>50</v>
      </c>
      <c r="F38" s="188" t="s">
        <v>50</v>
      </c>
      <c r="G38" s="188" t="s">
        <v>50</v>
      </c>
      <c r="H38" s="215" t="s">
        <v>50</v>
      </c>
      <c r="I38" s="704"/>
    </row>
    <row r="39" spans="1:9">
      <c r="A39" s="592"/>
      <c r="B39" s="111" t="s">
        <v>68</v>
      </c>
      <c r="C39" s="164"/>
      <c r="D39" s="188" t="s">
        <v>50</v>
      </c>
      <c r="E39" s="188" t="s">
        <v>50</v>
      </c>
      <c r="F39" s="188" t="s">
        <v>50</v>
      </c>
      <c r="G39" s="188" t="s">
        <v>50</v>
      </c>
      <c r="H39" s="215" t="s">
        <v>50</v>
      </c>
      <c r="I39" s="704"/>
    </row>
    <row r="40" spans="1:9">
      <c r="A40" s="592"/>
      <c r="B40" s="154" t="s">
        <v>69</v>
      </c>
      <c r="C40" s="182"/>
      <c r="D40" s="188" t="s">
        <v>50</v>
      </c>
      <c r="E40" s="188" t="s">
        <v>50</v>
      </c>
      <c r="F40" s="188" t="s">
        <v>50</v>
      </c>
      <c r="G40" s="188" t="s">
        <v>50</v>
      </c>
      <c r="H40" s="215" t="s">
        <v>50</v>
      </c>
      <c r="I40" s="704"/>
    </row>
    <row r="41" spans="1:9">
      <c r="A41" s="592"/>
      <c r="B41" s="154" t="s">
        <v>70</v>
      </c>
      <c r="C41" s="182"/>
      <c r="D41" s="188" t="s">
        <v>50</v>
      </c>
      <c r="E41" s="188" t="s">
        <v>50</v>
      </c>
      <c r="F41" s="188" t="s">
        <v>50</v>
      </c>
      <c r="G41" s="188" t="s">
        <v>50</v>
      </c>
      <c r="H41" s="215" t="s">
        <v>50</v>
      </c>
      <c r="I41" s="704"/>
    </row>
    <row r="42" spans="1:9">
      <c r="A42" s="592"/>
      <c r="B42" s="154" t="s">
        <v>71</v>
      </c>
      <c r="C42" s="182"/>
      <c r="D42" s="373" t="s">
        <v>50</v>
      </c>
      <c r="E42" s="373" t="s">
        <v>50</v>
      </c>
      <c r="F42" s="373" t="s">
        <v>50</v>
      </c>
      <c r="G42" s="373" t="s">
        <v>50</v>
      </c>
      <c r="H42" s="374" t="s">
        <v>50</v>
      </c>
      <c r="I42" s="704"/>
    </row>
    <row r="43" spans="1:9" ht="12" thickBot="1">
      <c r="A43" s="608"/>
      <c r="B43" s="156" t="s">
        <v>72</v>
      </c>
      <c r="C43" s="184"/>
      <c r="D43" s="311" t="s">
        <v>50</v>
      </c>
      <c r="E43" s="311" t="s">
        <v>50</v>
      </c>
      <c r="F43" s="311" t="s">
        <v>50</v>
      </c>
      <c r="G43" s="311" t="s">
        <v>50</v>
      </c>
      <c r="H43" s="312" t="s">
        <v>50</v>
      </c>
      <c r="I43" s="704"/>
    </row>
    <row r="44" spans="1:9">
      <c r="A44" s="698" t="str">
        <f>Titles!$A$12</f>
        <v>1 Data for 2023, 2024 and 2025 based on 2021 Census Definitions.</v>
      </c>
      <c r="B44" s="699"/>
      <c r="C44" s="700"/>
      <c r="D44" s="701"/>
      <c r="E44" s="702"/>
      <c r="F44" s="701"/>
      <c r="G44" s="701"/>
      <c r="H44" s="703"/>
      <c r="I44" s="704"/>
    </row>
    <row r="45" spans="1:9" s="697" customFormat="1" ht="10.9" customHeight="1">
      <c r="A45" s="705" t="s">
        <v>114</v>
      </c>
      <c r="B45" s="706"/>
      <c r="C45" s="706"/>
      <c r="D45" s="706"/>
      <c r="E45" s="707"/>
      <c r="F45" s="708"/>
      <c r="G45" s="708"/>
      <c r="H45" s="708"/>
    </row>
    <row r="46" spans="1:9" s="697" customFormat="1" ht="10.9" customHeight="1">
      <c r="A46" s="709" t="str">
        <f>Titles!$A$10</f>
        <v>Source: CMHC Starts and Completion Survey, Market Absorption Survey</v>
      </c>
      <c r="B46" s="706"/>
      <c r="C46" s="706"/>
      <c r="D46" s="706"/>
      <c r="E46" s="710"/>
      <c r="F46" s="706"/>
      <c r="G46" s="706"/>
      <c r="H46" s="706"/>
    </row>
    <row r="47" spans="1:9" ht="12" customHeight="1">
      <c r="A47" s="711"/>
      <c r="B47" s="712"/>
      <c r="C47" s="712"/>
      <c r="D47" s="713"/>
      <c r="E47" s="713"/>
      <c r="F47" s="713"/>
      <c r="G47" s="714"/>
      <c r="H47" s="712"/>
      <c r="I47" s="715"/>
    </row>
    <row r="49" spans="1:9" ht="9.75" customHeight="1">
      <c r="A49" s="696"/>
      <c r="I49" s="715"/>
    </row>
    <row r="50" spans="1:9">
      <c r="A50" s="696"/>
    </row>
    <row r="51" spans="1:9">
      <c r="A51" s="696"/>
    </row>
    <row r="52" spans="1:9">
      <c r="A52" s="696"/>
    </row>
    <row r="53" spans="1:9">
      <c r="A53" s="696"/>
    </row>
    <row r="54" spans="1:9">
      <c r="A54" s="696"/>
    </row>
    <row r="55" spans="1:9">
      <c r="A55" s="696"/>
    </row>
    <row r="58" spans="1:9">
      <c r="A58" s="696"/>
    </row>
    <row r="59" spans="1:9">
      <c r="A59" s="696"/>
    </row>
    <row r="60" spans="1:9">
      <c r="A60" s="696"/>
    </row>
    <row r="61" spans="1:9">
      <c r="A61" s="696"/>
    </row>
    <row r="62" spans="1:9">
      <c r="A62" s="696"/>
    </row>
    <row r="63" spans="1:9">
      <c r="A63" s="696"/>
    </row>
    <row r="64" spans="1:9">
      <c r="A64" s="696"/>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62"/>
  <sheetViews>
    <sheetView zoomScale="115" zoomScaleNormal="115" workbookViewId="0">
      <pane xSplit="3" ySplit="5" topLeftCell="D6" activePane="bottomRight" state="frozen"/>
      <selection pane="topRight"/>
      <selection pane="bottomLeft"/>
      <selection pane="bottomRight"/>
    </sheetView>
  </sheetViews>
  <sheetFormatPr defaultColWidth="11.53515625" defaultRowHeight="11.5"/>
  <cols>
    <col min="1" max="1" width="8.23046875" style="718" customWidth="1"/>
    <col min="2" max="2" width="9.23046875" style="696" customWidth="1"/>
    <col min="3" max="3" width="8.765625" style="696" customWidth="1"/>
    <col min="4" max="6" width="9.765625" style="696" customWidth="1"/>
    <col min="7" max="7" width="10.765625" style="696" customWidth="1"/>
    <col min="8" max="8" width="9.765625" style="696" customWidth="1"/>
    <col min="9" max="16384" width="11.53515625" style="696"/>
  </cols>
  <sheetData>
    <row r="1" spans="1:9" s="695" customFormat="1" ht="16.149999999999999" customHeight="1">
      <c r="A1" s="602" t="s">
        <v>130</v>
      </c>
      <c r="B1" s="416"/>
      <c r="C1" s="416"/>
      <c r="D1" s="416"/>
      <c r="E1" s="416"/>
      <c r="F1" s="416"/>
      <c r="G1" s="416"/>
      <c r="H1" s="417"/>
      <c r="I1" s="719"/>
    </row>
    <row r="2" spans="1:9" s="695" customFormat="1" ht="16.149999999999999" customHeight="1">
      <c r="A2" s="603" t="s">
        <v>143</v>
      </c>
      <c r="B2" s="419"/>
      <c r="C2" s="419"/>
      <c r="D2" s="419"/>
      <c r="E2" s="419"/>
      <c r="F2" s="419"/>
      <c r="G2" s="419"/>
      <c r="H2" s="420"/>
      <c r="I2" s="719"/>
    </row>
    <row r="3" spans="1:9" s="695" customFormat="1" ht="16.149999999999999" customHeight="1" thickBot="1">
      <c r="A3" s="604"/>
      <c r="B3" s="456"/>
      <c r="C3" s="456"/>
      <c r="D3" s="456"/>
      <c r="E3" s="456"/>
      <c r="F3" s="456"/>
      <c r="G3" s="456"/>
      <c r="H3" s="457"/>
      <c r="I3" s="719"/>
    </row>
    <row r="4" spans="1:9" ht="26.25" customHeight="1">
      <c r="A4" s="613" t="s">
        <v>93</v>
      </c>
      <c r="B4" s="89"/>
      <c r="C4" s="118"/>
      <c r="D4" s="379" t="s">
        <v>23</v>
      </c>
      <c r="E4" s="379" t="s">
        <v>42</v>
      </c>
      <c r="F4" s="379" t="s">
        <v>14</v>
      </c>
      <c r="G4" s="466" t="s">
        <v>102</v>
      </c>
      <c r="H4" s="553" t="s">
        <v>37</v>
      </c>
      <c r="I4" s="704"/>
    </row>
    <row r="5" spans="1:9">
      <c r="A5" s="614"/>
      <c r="B5" s="557"/>
      <c r="C5" s="145"/>
      <c r="D5" s="145"/>
      <c r="E5" s="145"/>
      <c r="F5" s="145"/>
      <c r="G5" s="467"/>
      <c r="H5" s="310"/>
      <c r="I5" s="704"/>
    </row>
    <row r="6" spans="1:9" ht="13.5">
      <c r="A6" s="643" t="s">
        <v>262</v>
      </c>
      <c r="B6" s="142"/>
      <c r="C6" s="743"/>
      <c r="D6" s="366">
        <v>4171</v>
      </c>
      <c r="E6" s="366">
        <v>2157</v>
      </c>
      <c r="F6" s="366">
        <v>1505</v>
      </c>
      <c r="G6" s="366">
        <v>654</v>
      </c>
      <c r="H6" s="366">
        <v>300</v>
      </c>
      <c r="I6" s="704"/>
    </row>
    <row r="7" spans="1:9" ht="13.5">
      <c r="A7" s="643" t="s">
        <v>267</v>
      </c>
      <c r="B7" s="142"/>
      <c r="C7" s="743"/>
      <c r="D7" s="366">
        <v>3106</v>
      </c>
      <c r="E7" s="366">
        <v>1262</v>
      </c>
      <c r="F7" s="366">
        <v>802</v>
      </c>
      <c r="G7" s="366">
        <v>355</v>
      </c>
      <c r="H7" s="366">
        <v>221</v>
      </c>
      <c r="I7" s="704"/>
    </row>
    <row r="8" spans="1:9">
      <c r="A8" s="638">
        <v>2024</v>
      </c>
      <c r="B8" s="107" t="s">
        <v>61</v>
      </c>
      <c r="C8" s="163"/>
      <c r="D8" s="188">
        <v>2378</v>
      </c>
      <c r="E8" s="188">
        <v>2603.9999999999995</v>
      </c>
      <c r="F8" s="188">
        <v>592</v>
      </c>
      <c r="G8" s="188">
        <v>90</v>
      </c>
      <c r="H8" s="215">
        <v>149</v>
      </c>
      <c r="I8" s="704"/>
    </row>
    <row r="9" spans="1:9">
      <c r="A9" s="116"/>
      <c r="B9" s="111" t="s">
        <v>62</v>
      </c>
      <c r="C9" s="164"/>
      <c r="D9" s="188">
        <v>2710</v>
      </c>
      <c r="E9" s="188">
        <v>265</v>
      </c>
      <c r="F9" s="188">
        <v>593</v>
      </c>
      <c r="G9" s="188">
        <v>437</v>
      </c>
      <c r="H9" s="215">
        <v>109</v>
      </c>
      <c r="I9" s="704"/>
    </row>
    <row r="10" spans="1:9">
      <c r="A10" s="153"/>
      <c r="B10" s="154" t="s">
        <v>63</v>
      </c>
      <c r="C10" s="182"/>
      <c r="D10" s="188">
        <v>6699.0000000000009</v>
      </c>
      <c r="E10" s="188">
        <v>708</v>
      </c>
      <c r="F10" s="188">
        <v>1004.9999999999999</v>
      </c>
      <c r="G10" s="188">
        <v>66</v>
      </c>
      <c r="H10" s="215">
        <v>395.99999999999994</v>
      </c>
      <c r="I10" s="704"/>
    </row>
    <row r="11" spans="1:9">
      <c r="A11" s="155"/>
      <c r="B11" s="111" t="s">
        <v>64</v>
      </c>
      <c r="C11" s="164"/>
      <c r="D11" s="188">
        <v>5121</v>
      </c>
      <c r="E11" s="188">
        <v>3905.0000000000005</v>
      </c>
      <c r="F11" s="188">
        <v>672</v>
      </c>
      <c r="G11" s="188">
        <v>4</v>
      </c>
      <c r="H11" s="215">
        <v>94</v>
      </c>
      <c r="I11" s="704"/>
    </row>
    <row r="12" spans="1:9">
      <c r="A12" s="116"/>
      <c r="B12" s="111" t="s">
        <v>65</v>
      </c>
      <c r="C12" s="164"/>
      <c r="D12" s="188">
        <v>1786</v>
      </c>
      <c r="E12" s="188">
        <v>1412</v>
      </c>
      <c r="F12" s="188">
        <v>1032</v>
      </c>
      <c r="G12" s="188">
        <v>306.00000000000006</v>
      </c>
      <c r="H12" s="215">
        <v>157</v>
      </c>
      <c r="I12" s="704"/>
    </row>
    <row r="13" spans="1:9">
      <c r="A13" s="153"/>
      <c r="B13" s="154" t="s">
        <v>66</v>
      </c>
      <c r="C13" s="182"/>
      <c r="D13" s="188">
        <v>2222</v>
      </c>
      <c r="E13" s="188">
        <v>4155</v>
      </c>
      <c r="F13" s="188">
        <v>730</v>
      </c>
      <c r="G13" s="188">
        <v>3</v>
      </c>
      <c r="H13" s="215">
        <v>112</v>
      </c>
      <c r="I13" s="704"/>
    </row>
    <row r="14" spans="1:9">
      <c r="A14" s="153"/>
      <c r="B14" s="111" t="s">
        <v>67</v>
      </c>
      <c r="C14" s="164"/>
      <c r="D14" s="188">
        <v>7214</v>
      </c>
      <c r="E14" s="188">
        <v>2080</v>
      </c>
      <c r="F14" s="188">
        <v>1101.9999999999998</v>
      </c>
      <c r="G14" s="188">
        <v>156</v>
      </c>
      <c r="H14" s="215">
        <v>801</v>
      </c>
      <c r="I14" s="704"/>
    </row>
    <row r="15" spans="1:9">
      <c r="A15" s="116"/>
      <c r="B15" s="111" t="s">
        <v>68</v>
      </c>
      <c r="C15" s="164"/>
      <c r="D15" s="188">
        <v>5566.0000000000009</v>
      </c>
      <c r="E15" s="188">
        <v>1643</v>
      </c>
      <c r="F15" s="188">
        <v>2099</v>
      </c>
      <c r="G15" s="188">
        <v>0</v>
      </c>
      <c r="H15" s="215">
        <v>37</v>
      </c>
      <c r="I15" s="704"/>
    </row>
    <row r="16" spans="1:9">
      <c r="A16" s="116"/>
      <c r="B16" s="154" t="s">
        <v>69</v>
      </c>
      <c r="C16" s="182"/>
      <c r="D16" s="188">
        <v>2332</v>
      </c>
      <c r="E16" s="188">
        <v>3732</v>
      </c>
      <c r="F16" s="188">
        <v>1824</v>
      </c>
      <c r="G16" s="188">
        <v>509</v>
      </c>
      <c r="H16" s="215">
        <v>411.00000000000006</v>
      </c>
      <c r="I16" s="704"/>
    </row>
    <row r="17" spans="1:9">
      <c r="A17" s="116"/>
      <c r="B17" s="154" t="s">
        <v>70</v>
      </c>
      <c r="C17" s="182"/>
      <c r="D17" s="188">
        <v>6153</v>
      </c>
      <c r="E17" s="188">
        <v>1726</v>
      </c>
      <c r="F17" s="188">
        <v>737</v>
      </c>
      <c r="G17" s="188">
        <v>449.00000000000006</v>
      </c>
      <c r="H17" s="215">
        <v>1003.0000000000001</v>
      </c>
      <c r="I17" s="704"/>
    </row>
    <row r="18" spans="1:9">
      <c r="A18" s="116"/>
      <c r="B18" s="154" t="s">
        <v>71</v>
      </c>
      <c r="C18" s="182"/>
      <c r="D18" s="188">
        <v>2203</v>
      </c>
      <c r="E18" s="188">
        <v>2060</v>
      </c>
      <c r="F18" s="188">
        <v>962</v>
      </c>
      <c r="G18" s="188">
        <v>5439</v>
      </c>
      <c r="H18" s="215">
        <v>176</v>
      </c>
      <c r="I18" s="704"/>
    </row>
    <row r="19" spans="1:9">
      <c r="A19" s="144"/>
      <c r="B19" s="142" t="s">
        <v>72</v>
      </c>
      <c r="C19" s="183"/>
      <c r="D19" s="554">
        <v>5564</v>
      </c>
      <c r="E19" s="554">
        <v>1282</v>
      </c>
      <c r="F19" s="554">
        <v>7064</v>
      </c>
      <c r="G19" s="554">
        <v>546.99999999999989</v>
      </c>
      <c r="H19" s="555">
        <v>154</v>
      </c>
      <c r="I19" s="704"/>
    </row>
    <row r="20" spans="1:9">
      <c r="A20" s="644">
        <v>2025</v>
      </c>
      <c r="B20" s="107" t="s">
        <v>61</v>
      </c>
      <c r="C20" s="163"/>
      <c r="D20" s="188">
        <v>889</v>
      </c>
      <c r="E20" s="188">
        <v>669</v>
      </c>
      <c r="F20" s="188">
        <v>294</v>
      </c>
      <c r="G20" s="188">
        <v>88</v>
      </c>
      <c r="H20" s="215">
        <v>280</v>
      </c>
      <c r="I20" s="704"/>
    </row>
    <row r="21" spans="1:9">
      <c r="A21" s="116"/>
      <c r="B21" s="111" t="s">
        <v>62</v>
      </c>
      <c r="C21" s="164"/>
      <c r="D21" s="188">
        <v>1292</v>
      </c>
      <c r="E21" s="188">
        <v>801</v>
      </c>
      <c r="F21" s="188">
        <v>704</v>
      </c>
      <c r="G21" s="188">
        <v>91</v>
      </c>
      <c r="H21" s="215">
        <v>96</v>
      </c>
      <c r="I21" s="704"/>
    </row>
    <row r="22" spans="1:9">
      <c r="A22" s="153"/>
      <c r="B22" s="154" t="s">
        <v>63</v>
      </c>
      <c r="C22" s="182"/>
      <c r="D22" s="188">
        <v>1948.9999999999998</v>
      </c>
      <c r="E22" s="188">
        <v>488.00000000000006</v>
      </c>
      <c r="F22" s="188">
        <v>179</v>
      </c>
      <c r="G22" s="188">
        <v>108.00000000000001</v>
      </c>
      <c r="H22" s="215">
        <v>166.99999999999997</v>
      </c>
      <c r="I22" s="704"/>
    </row>
    <row r="23" spans="1:9">
      <c r="A23" s="155"/>
      <c r="B23" s="111" t="s">
        <v>64</v>
      </c>
      <c r="C23" s="164"/>
      <c r="D23" s="188">
        <v>1005.0000000000001</v>
      </c>
      <c r="E23" s="188">
        <v>784</v>
      </c>
      <c r="F23" s="188">
        <v>456.99999999999994</v>
      </c>
      <c r="G23" s="188">
        <v>44</v>
      </c>
      <c r="H23" s="215">
        <v>108</v>
      </c>
      <c r="I23" s="704"/>
    </row>
    <row r="24" spans="1:9">
      <c r="A24" s="116"/>
      <c r="B24" s="111" t="s">
        <v>65</v>
      </c>
      <c r="C24" s="164"/>
      <c r="D24" s="188">
        <v>592</v>
      </c>
      <c r="E24" s="188">
        <v>784</v>
      </c>
      <c r="F24" s="188">
        <v>555.99999999999989</v>
      </c>
      <c r="G24" s="188">
        <v>885</v>
      </c>
      <c r="H24" s="215">
        <v>243</v>
      </c>
      <c r="I24" s="704"/>
    </row>
    <row r="25" spans="1:9">
      <c r="A25" s="153"/>
      <c r="B25" s="154" t="s">
        <v>66</v>
      </c>
      <c r="C25" s="182"/>
      <c r="D25" s="188">
        <v>4091</v>
      </c>
      <c r="E25" s="188">
        <v>1873.0000000000002</v>
      </c>
      <c r="F25" s="188">
        <v>640</v>
      </c>
      <c r="G25" s="188">
        <v>304.00000000000006</v>
      </c>
      <c r="H25" s="215">
        <v>184</v>
      </c>
      <c r="I25" s="704"/>
    </row>
    <row r="26" spans="1:9">
      <c r="A26" s="153"/>
      <c r="B26" s="111" t="s">
        <v>67</v>
      </c>
      <c r="C26" s="164"/>
      <c r="D26" s="188">
        <v>4714</v>
      </c>
      <c r="E26" s="188">
        <v>2800</v>
      </c>
      <c r="F26" s="188">
        <v>3981.9999999999995</v>
      </c>
      <c r="G26" s="188">
        <v>424</v>
      </c>
      <c r="H26" s="215">
        <v>420</v>
      </c>
      <c r="I26" s="704"/>
    </row>
    <row r="27" spans="1:9">
      <c r="A27" s="116"/>
      <c r="B27" s="111" t="s">
        <v>68</v>
      </c>
      <c r="C27" s="164"/>
      <c r="D27" s="188">
        <v>1444</v>
      </c>
      <c r="E27" s="188">
        <v>852.00000000000011</v>
      </c>
      <c r="F27" s="188">
        <v>354.00000000000006</v>
      </c>
      <c r="G27" s="188">
        <v>275</v>
      </c>
      <c r="H27" s="215">
        <v>109</v>
      </c>
      <c r="I27" s="704"/>
    </row>
    <row r="28" spans="1:9">
      <c r="A28" s="116"/>
      <c r="B28" s="154" t="s">
        <v>69</v>
      </c>
      <c r="C28" s="182"/>
      <c r="D28" s="188">
        <v>13095</v>
      </c>
      <c r="E28" s="188">
        <v>1511.9999999999998</v>
      </c>
      <c r="F28" s="188">
        <v>369.00000000000006</v>
      </c>
      <c r="G28" s="188">
        <v>150</v>
      </c>
      <c r="H28" s="215">
        <v>697.00000000000011</v>
      </c>
      <c r="I28" s="704"/>
    </row>
    <row r="29" spans="1:9">
      <c r="A29" s="116"/>
      <c r="B29" s="154" t="s">
        <v>70</v>
      </c>
      <c r="C29" s="182"/>
      <c r="D29" s="188">
        <v>2248.9999999999995</v>
      </c>
      <c r="E29" s="188">
        <v>628.99999999999989</v>
      </c>
      <c r="F29" s="188">
        <v>720</v>
      </c>
      <c r="G29" s="188">
        <v>208.00000000000003</v>
      </c>
      <c r="H29" s="215">
        <v>148</v>
      </c>
      <c r="I29" s="704"/>
    </row>
    <row r="30" spans="1:9">
      <c r="A30" s="116"/>
      <c r="B30" s="154" t="s">
        <v>71</v>
      </c>
      <c r="C30" s="182"/>
      <c r="D30" s="188">
        <v>3872</v>
      </c>
      <c r="E30" s="188">
        <v>2730.0000000000005</v>
      </c>
      <c r="F30" s="188">
        <v>1063</v>
      </c>
      <c r="G30" s="188">
        <v>1347</v>
      </c>
      <c r="H30" s="215">
        <v>144.00000000000003</v>
      </c>
      <c r="I30" s="704"/>
    </row>
    <row r="31" spans="1:9">
      <c r="A31" s="144"/>
      <c r="B31" s="142" t="s">
        <v>72</v>
      </c>
      <c r="C31" s="556"/>
      <c r="D31" s="554">
        <v>2296.0000000000005</v>
      </c>
      <c r="E31" s="554">
        <v>1260</v>
      </c>
      <c r="F31" s="554">
        <v>142</v>
      </c>
      <c r="G31" s="554">
        <v>325</v>
      </c>
      <c r="H31" s="555">
        <v>65</v>
      </c>
      <c r="I31" s="704"/>
    </row>
    <row r="32" spans="1:9">
      <c r="A32" s="644">
        <v>2026</v>
      </c>
      <c r="B32" s="107" t="s">
        <v>61</v>
      </c>
      <c r="C32" s="165"/>
      <c r="D32" s="188">
        <v>4691.9999999999991</v>
      </c>
      <c r="E32" s="188">
        <v>321</v>
      </c>
      <c r="F32" s="188">
        <v>218.99999999999997</v>
      </c>
      <c r="G32" s="188">
        <v>132</v>
      </c>
      <c r="H32" s="215">
        <v>1049</v>
      </c>
      <c r="I32" s="704"/>
    </row>
    <row r="33" spans="1:12">
      <c r="A33" s="116"/>
      <c r="B33" s="111" t="s">
        <v>62</v>
      </c>
      <c r="C33" s="164"/>
      <c r="D33" s="188">
        <v>972</v>
      </c>
      <c r="E33" s="188">
        <v>234</v>
      </c>
      <c r="F33" s="188">
        <v>742</v>
      </c>
      <c r="G33" s="188">
        <v>113.99999999999999</v>
      </c>
      <c r="H33" s="215">
        <v>318.99999999999994</v>
      </c>
      <c r="I33" s="704"/>
    </row>
    <row r="34" spans="1:12">
      <c r="A34" s="153"/>
      <c r="B34" s="154" t="s">
        <v>63</v>
      </c>
      <c r="C34" s="182"/>
      <c r="D34" s="188" t="s">
        <v>50</v>
      </c>
      <c r="E34" s="188" t="s">
        <v>50</v>
      </c>
      <c r="F34" s="188" t="s">
        <v>50</v>
      </c>
      <c r="G34" s="188" t="s">
        <v>50</v>
      </c>
      <c r="H34" s="215" t="s">
        <v>50</v>
      </c>
      <c r="I34" s="704"/>
    </row>
    <row r="35" spans="1:12">
      <c r="A35" s="155"/>
      <c r="B35" s="111" t="s">
        <v>64</v>
      </c>
      <c r="C35" s="164"/>
      <c r="D35" s="188" t="s">
        <v>50</v>
      </c>
      <c r="E35" s="188" t="s">
        <v>50</v>
      </c>
      <c r="F35" s="188" t="s">
        <v>50</v>
      </c>
      <c r="G35" s="188" t="s">
        <v>50</v>
      </c>
      <c r="H35" s="215" t="s">
        <v>50</v>
      </c>
      <c r="I35" s="704"/>
    </row>
    <row r="36" spans="1:12">
      <c r="A36" s="116"/>
      <c r="B36" s="111" t="s">
        <v>65</v>
      </c>
      <c r="C36" s="164"/>
      <c r="D36" s="188" t="s">
        <v>50</v>
      </c>
      <c r="E36" s="188" t="s">
        <v>50</v>
      </c>
      <c r="F36" s="188" t="s">
        <v>50</v>
      </c>
      <c r="G36" s="188" t="s">
        <v>50</v>
      </c>
      <c r="H36" s="215" t="s">
        <v>50</v>
      </c>
      <c r="I36" s="704"/>
    </row>
    <row r="37" spans="1:12">
      <c r="A37" s="592"/>
      <c r="B37" s="154" t="s">
        <v>66</v>
      </c>
      <c r="C37" s="182"/>
      <c r="D37" s="188" t="s">
        <v>50</v>
      </c>
      <c r="E37" s="188" t="s">
        <v>50</v>
      </c>
      <c r="F37" s="188" t="s">
        <v>50</v>
      </c>
      <c r="G37" s="188" t="s">
        <v>50</v>
      </c>
      <c r="H37" s="215" t="s">
        <v>50</v>
      </c>
      <c r="I37" s="704"/>
    </row>
    <row r="38" spans="1:12">
      <c r="A38" s="592"/>
      <c r="B38" s="111" t="s">
        <v>67</v>
      </c>
      <c r="C38" s="164"/>
      <c r="D38" s="188" t="s">
        <v>50</v>
      </c>
      <c r="E38" s="188" t="s">
        <v>50</v>
      </c>
      <c r="F38" s="188" t="s">
        <v>50</v>
      </c>
      <c r="G38" s="188" t="s">
        <v>50</v>
      </c>
      <c r="H38" s="215" t="s">
        <v>50</v>
      </c>
      <c r="I38" s="704"/>
    </row>
    <row r="39" spans="1:12">
      <c r="A39" s="592"/>
      <c r="B39" s="111" t="s">
        <v>68</v>
      </c>
      <c r="C39" s="164"/>
      <c r="D39" s="188" t="s">
        <v>50</v>
      </c>
      <c r="E39" s="188" t="s">
        <v>50</v>
      </c>
      <c r="F39" s="188" t="s">
        <v>50</v>
      </c>
      <c r="G39" s="188" t="s">
        <v>50</v>
      </c>
      <c r="H39" s="215" t="s">
        <v>50</v>
      </c>
      <c r="I39" s="704"/>
    </row>
    <row r="40" spans="1:12">
      <c r="A40" s="592"/>
      <c r="B40" s="154" t="s">
        <v>69</v>
      </c>
      <c r="C40" s="182"/>
      <c r="D40" s="188" t="s">
        <v>50</v>
      </c>
      <c r="E40" s="188" t="s">
        <v>50</v>
      </c>
      <c r="F40" s="188" t="s">
        <v>50</v>
      </c>
      <c r="G40" s="188" t="s">
        <v>50</v>
      </c>
      <c r="H40" s="215" t="s">
        <v>50</v>
      </c>
      <c r="I40" s="704"/>
    </row>
    <row r="41" spans="1:12">
      <c r="A41" s="592"/>
      <c r="B41" s="154" t="s">
        <v>70</v>
      </c>
      <c r="C41" s="182"/>
      <c r="D41" s="188" t="s">
        <v>50</v>
      </c>
      <c r="E41" s="188" t="s">
        <v>50</v>
      </c>
      <c r="F41" s="188" t="s">
        <v>50</v>
      </c>
      <c r="G41" s="188" t="s">
        <v>50</v>
      </c>
      <c r="H41" s="215" t="s">
        <v>50</v>
      </c>
      <c r="I41" s="704"/>
    </row>
    <row r="42" spans="1:12">
      <c r="A42" s="592"/>
      <c r="B42" s="154" t="s">
        <v>71</v>
      </c>
      <c r="C42" s="182"/>
      <c r="D42" s="373" t="s">
        <v>50</v>
      </c>
      <c r="E42" s="373" t="s">
        <v>50</v>
      </c>
      <c r="F42" s="373" t="s">
        <v>50</v>
      </c>
      <c r="G42" s="373" t="s">
        <v>50</v>
      </c>
      <c r="H42" s="374" t="s">
        <v>50</v>
      </c>
      <c r="I42" s="704"/>
    </row>
    <row r="43" spans="1:12" ht="12" thickBot="1">
      <c r="A43" s="608"/>
      <c r="B43" s="156" t="s">
        <v>72</v>
      </c>
      <c r="C43" s="184"/>
      <c r="D43" s="311" t="s">
        <v>50</v>
      </c>
      <c r="E43" s="311" t="s">
        <v>50</v>
      </c>
      <c r="F43" s="311" t="s">
        <v>50</v>
      </c>
      <c r="G43" s="311" t="s">
        <v>50</v>
      </c>
      <c r="H43" s="312" t="s">
        <v>50</v>
      </c>
      <c r="I43" s="704"/>
    </row>
    <row r="44" spans="1:12" s="723" customFormat="1" ht="12" customHeight="1">
      <c r="A44" s="698" t="str">
        <f>Titles!$A$12</f>
        <v>1 Data for 2023, 2024 and 2025 based on 2021 Census Definitions.</v>
      </c>
      <c r="B44" s="699"/>
      <c r="C44" s="700"/>
      <c r="D44" s="701"/>
      <c r="E44" s="702"/>
      <c r="F44" s="701"/>
      <c r="G44" s="701"/>
      <c r="H44" s="703"/>
      <c r="I44" s="699"/>
      <c r="J44" s="699"/>
      <c r="K44" s="721"/>
      <c r="L44" s="722"/>
    </row>
    <row r="45" spans="1:12">
      <c r="A45" s="705" t="s">
        <v>114</v>
      </c>
      <c r="B45" s="706"/>
      <c r="C45" s="706"/>
      <c r="D45" s="706"/>
      <c r="E45" s="707"/>
      <c r="F45" s="708"/>
      <c r="G45" s="708"/>
      <c r="H45" s="708"/>
      <c r="I45" s="704"/>
    </row>
    <row r="46" spans="1:12" s="697" customFormat="1" ht="10.9" customHeight="1">
      <c r="A46" s="709" t="str">
        <f>Titles!$A$10</f>
        <v>Source: CMHC Starts and Completion Survey, Market Absorption Survey</v>
      </c>
      <c r="B46" s="706"/>
      <c r="C46" s="706"/>
      <c r="D46" s="706"/>
      <c r="E46" s="710"/>
      <c r="F46" s="706"/>
      <c r="G46" s="706"/>
      <c r="H46" s="706"/>
    </row>
    <row r="47" spans="1:12" s="697" customFormat="1" ht="10.9" customHeight="1">
      <c r="A47" s="724"/>
    </row>
    <row r="48" spans="1:12" ht="12" customHeight="1">
      <c r="A48" s="711"/>
      <c r="B48" s="712"/>
      <c r="C48" s="712"/>
      <c r="D48" s="713"/>
      <c r="E48" s="713"/>
      <c r="F48" s="713"/>
      <c r="G48" s="714"/>
      <c r="H48" s="712"/>
      <c r="I48" s="715"/>
    </row>
    <row r="49" spans="1:9" ht="9.75" customHeight="1">
      <c r="I49" s="715"/>
    </row>
    <row r="61" spans="1:9">
      <c r="A61" s="698"/>
      <c r="B61" s="716"/>
      <c r="C61" s="700"/>
      <c r="D61" s="703"/>
      <c r="E61" s="703"/>
      <c r="F61" s="702"/>
    </row>
    <row r="62" spans="1:9" ht="15.5">
      <c r="A62" s="698"/>
      <c r="B62" s="717"/>
      <c r="C62" s="717"/>
      <c r="D62" s="717"/>
      <c r="E62" s="717"/>
      <c r="F62" s="702"/>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62"/>
  <sheetViews>
    <sheetView showZeros="0" zoomScale="115" zoomScaleNormal="115" workbookViewId="0">
      <pane xSplit="3" ySplit="5" topLeftCell="D6" activePane="bottomRight" state="frozen"/>
      <selection pane="topRight"/>
      <selection pane="bottomLeft"/>
      <selection pane="bottomRight"/>
    </sheetView>
  </sheetViews>
  <sheetFormatPr defaultColWidth="11.53515625" defaultRowHeight="11.5"/>
  <cols>
    <col min="1" max="1" width="8.765625" style="718" customWidth="1"/>
    <col min="2" max="2" width="9.23046875" style="696" customWidth="1"/>
    <col min="3" max="3" width="8.765625" style="696" customWidth="1"/>
    <col min="4" max="8" width="9.765625" style="696" customWidth="1"/>
    <col min="9" max="16384" width="11.53515625" style="696"/>
  </cols>
  <sheetData>
    <row r="1" spans="1:9" s="695" customFormat="1" ht="16.149999999999999" customHeight="1">
      <c r="A1" s="602" t="s">
        <v>131</v>
      </c>
      <c r="B1" s="416"/>
      <c r="C1" s="416"/>
      <c r="D1" s="416"/>
      <c r="E1" s="416"/>
      <c r="F1" s="416"/>
      <c r="G1" s="416"/>
      <c r="H1" s="416"/>
      <c r="I1" s="417"/>
    </row>
    <row r="2" spans="1:9" s="695" customFormat="1" ht="16.149999999999999" customHeight="1">
      <c r="A2" s="603" t="s">
        <v>143</v>
      </c>
      <c r="B2" s="419"/>
      <c r="C2" s="419"/>
      <c r="D2" s="419"/>
      <c r="E2" s="419"/>
      <c r="F2" s="419"/>
      <c r="G2" s="419"/>
      <c r="H2" s="419"/>
      <c r="I2" s="420"/>
    </row>
    <row r="3" spans="1:9" s="695" customFormat="1" ht="16.149999999999999" customHeight="1" thickBot="1">
      <c r="A3" s="604"/>
      <c r="B3" s="456"/>
      <c r="C3" s="456"/>
      <c r="D3" s="456"/>
      <c r="E3" s="456"/>
      <c r="F3" s="456"/>
      <c r="G3" s="456"/>
      <c r="H3" s="456"/>
      <c r="I3" s="457"/>
    </row>
    <row r="4" spans="1:9">
      <c r="A4" s="605"/>
      <c r="B4" s="89"/>
      <c r="C4" s="118"/>
      <c r="D4" s="120"/>
      <c r="E4" s="120"/>
      <c r="F4" s="120"/>
      <c r="G4" s="120"/>
      <c r="H4" s="120"/>
      <c r="I4" s="664"/>
    </row>
    <row r="5" spans="1:9">
      <c r="A5" s="606" t="s">
        <v>93</v>
      </c>
      <c r="B5" s="139"/>
      <c r="C5" s="145"/>
      <c r="D5" s="146" t="s">
        <v>43</v>
      </c>
      <c r="E5" s="146" t="s">
        <v>32</v>
      </c>
      <c r="F5" s="146" t="s">
        <v>35</v>
      </c>
      <c r="G5" s="146" t="s">
        <v>115</v>
      </c>
      <c r="H5" s="146" t="s">
        <v>16</v>
      </c>
      <c r="I5" s="665" t="s">
        <v>184</v>
      </c>
    </row>
    <row r="6" spans="1:9" ht="13.5">
      <c r="A6" s="643" t="s">
        <v>262</v>
      </c>
      <c r="B6" s="142"/>
      <c r="C6" s="115"/>
      <c r="D6" s="366">
        <v>5151</v>
      </c>
      <c r="E6" s="366">
        <v>1223</v>
      </c>
      <c r="F6" s="366">
        <v>2656</v>
      </c>
      <c r="G6" s="366">
        <v>715</v>
      </c>
      <c r="H6" s="366">
        <v>24369</v>
      </c>
      <c r="I6" s="310">
        <v>354</v>
      </c>
    </row>
    <row r="7" spans="1:9" ht="13.5">
      <c r="A7" s="643" t="s">
        <v>267</v>
      </c>
      <c r="B7" s="142"/>
      <c r="C7" s="115"/>
      <c r="D7" s="366">
        <v>6061</v>
      </c>
      <c r="E7" s="366">
        <v>1687</v>
      </c>
      <c r="F7" s="366">
        <v>3812</v>
      </c>
      <c r="G7" s="366">
        <v>620</v>
      </c>
      <c r="H7" s="366">
        <v>27684</v>
      </c>
      <c r="I7" s="310">
        <v>405</v>
      </c>
    </row>
    <row r="8" spans="1:9">
      <c r="A8" s="638">
        <v>2024</v>
      </c>
      <c r="B8" s="107" t="s">
        <v>61</v>
      </c>
      <c r="C8" s="163"/>
      <c r="D8" s="188">
        <v>3471.9999999999995</v>
      </c>
      <c r="E8" s="188">
        <v>1443</v>
      </c>
      <c r="F8" s="188">
        <v>1600</v>
      </c>
      <c r="G8" s="188">
        <v>1308</v>
      </c>
      <c r="H8" s="188">
        <v>24686.999999999996</v>
      </c>
      <c r="I8" s="215">
        <v>137</v>
      </c>
    </row>
    <row r="9" spans="1:9">
      <c r="A9" s="116"/>
      <c r="B9" s="111" t="s">
        <v>62</v>
      </c>
      <c r="C9" s="164"/>
      <c r="D9" s="188">
        <v>3913</v>
      </c>
      <c r="E9" s="188">
        <v>919.99999999999989</v>
      </c>
      <c r="F9" s="188">
        <v>1837.0000000000002</v>
      </c>
      <c r="G9" s="188">
        <v>360.00000000000006</v>
      </c>
      <c r="H9" s="188">
        <v>21443</v>
      </c>
      <c r="I9" s="215">
        <v>2088</v>
      </c>
    </row>
    <row r="10" spans="1:9">
      <c r="A10" s="153"/>
      <c r="B10" s="154" t="s">
        <v>63</v>
      </c>
      <c r="C10" s="182"/>
      <c r="D10" s="188">
        <v>4311.9999999999991</v>
      </c>
      <c r="E10" s="188">
        <v>1135</v>
      </c>
      <c r="F10" s="188">
        <v>1784</v>
      </c>
      <c r="G10" s="188">
        <v>216</v>
      </c>
      <c r="H10" s="188">
        <v>21917</v>
      </c>
      <c r="I10" s="215">
        <v>137</v>
      </c>
    </row>
    <row r="11" spans="1:9">
      <c r="A11" s="155"/>
      <c r="B11" s="111" t="s">
        <v>64</v>
      </c>
      <c r="C11" s="164"/>
      <c r="D11" s="188">
        <v>7060</v>
      </c>
      <c r="E11" s="188">
        <v>2725</v>
      </c>
      <c r="F11" s="188">
        <v>1162.9999999999998</v>
      </c>
      <c r="G11" s="188">
        <v>793.99999999999989</v>
      </c>
      <c r="H11" s="188">
        <v>22189</v>
      </c>
      <c r="I11" s="215">
        <v>848</v>
      </c>
    </row>
    <row r="12" spans="1:9">
      <c r="A12" s="116"/>
      <c r="B12" s="111" t="s">
        <v>65</v>
      </c>
      <c r="C12" s="164"/>
      <c r="D12" s="188">
        <v>2141</v>
      </c>
      <c r="E12" s="188">
        <v>453</v>
      </c>
      <c r="F12" s="188">
        <v>1107</v>
      </c>
      <c r="G12" s="188">
        <v>693</v>
      </c>
      <c r="H12" s="188">
        <v>23396</v>
      </c>
      <c r="I12" s="215">
        <v>144.00000000000003</v>
      </c>
    </row>
    <row r="13" spans="1:9">
      <c r="A13" s="153"/>
      <c r="B13" s="154" t="s">
        <v>66</v>
      </c>
      <c r="C13" s="182"/>
      <c r="D13" s="188">
        <v>7871</v>
      </c>
      <c r="E13" s="188">
        <v>1420</v>
      </c>
      <c r="F13" s="188">
        <v>2707</v>
      </c>
      <c r="G13" s="188">
        <v>248</v>
      </c>
      <c r="H13" s="188">
        <v>22686.999999999996</v>
      </c>
      <c r="I13" s="215">
        <v>128</v>
      </c>
    </row>
    <row r="14" spans="1:9">
      <c r="A14" s="153"/>
      <c r="B14" s="111" t="s">
        <v>67</v>
      </c>
      <c r="C14" s="164"/>
      <c r="D14" s="188">
        <v>6391</v>
      </c>
      <c r="E14" s="188">
        <v>1714</v>
      </c>
      <c r="F14" s="188">
        <v>5350</v>
      </c>
      <c r="G14" s="188">
        <v>48</v>
      </c>
      <c r="H14" s="188">
        <v>29125.999999999996</v>
      </c>
      <c r="I14" s="215">
        <v>197</v>
      </c>
    </row>
    <row r="15" spans="1:9">
      <c r="A15" s="116"/>
      <c r="B15" s="111" t="s">
        <v>68</v>
      </c>
      <c r="C15" s="164"/>
      <c r="D15" s="188">
        <v>5563.0000000000009</v>
      </c>
      <c r="E15" s="188">
        <v>542</v>
      </c>
      <c r="F15" s="188">
        <v>2442</v>
      </c>
      <c r="G15" s="188">
        <v>3341</v>
      </c>
      <c r="H15" s="188">
        <v>20220</v>
      </c>
      <c r="I15" s="215">
        <v>44</v>
      </c>
    </row>
    <row r="16" spans="1:9">
      <c r="A16" s="116"/>
      <c r="B16" s="154" t="s">
        <v>69</v>
      </c>
      <c r="C16" s="182"/>
      <c r="D16" s="188">
        <v>3288.0000000000005</v>
      </c>
      <c r="E16" s="188">
        <v>740</v>
      </c>
      <c r="F16" s="188">
        <v>4804</v>
      </c>
      <c r="G16" s="188">
        <v>206</v>
      </c>
      <c r="H16" s="188">
        <v>24113</v>
      </c>
      <c r="I16" s="215">
        <v>137</v>
      </c>
    </row>
    <row r="17" spans="1:9">
      <c r="A17" s="116"/>
      <c r="B17" s="154" t="s">
        <v>70</v>
      </c>
      <c r="C17" s="182"/>
      <c r="D17" s="188">
        <v>7700</v>
      </c>
      <c r="E17" s="188">
        <v>1664.0000000000002</v>
      </c>
      <c r="F17" s="188">
        <v>2655</v>
      </c>
      <c r="G17" s="188">
        <v>281</v>
      </c>
      <c r="H17" s="188">
        <v>31515</v>
      </c>
      <c r="I17" s="215">
        <v>169.99999999999997</v>
      </c>
    </row>
    <row r="18" spans="1:9">
      <c r="A18" s="116"/>
      <c r="B18" s="154" t="s">
        <v>71</v>
      </c>
      <c r="C18" s="182"/>
      <c r="D18" s="188">
        <v>6585</v>
      </c>
      <c r="E18" s="188">
        <v>490.99999999999994</v>
      </c>
      <c r="F18" s="188">
        <v>4302</v>
      </c>
      <c r="G18" s="188">
        <v>836</v>
      </c>
      <c r="H18" s="188">
        <v>29724</v>
      </c>
      <c r="I18" s="215">
        <v>131</v>
      </c>
    </row>
    <row r="19" spans="1:9">
      <c r="A19" s="144"/>
      <c r="B19" s="142" t="s">
        <v>72</v>
      </c>
      <c r="C19" s="567"/>
      <c r="D19" s="566">
        <v>3518.0000000000005</v>
      </c>
      <c r="E19" s="568">
        <v>1240.9999999999998</v>
      </c>
      <c r="F19" s="569">
        <v>2061</v>
      </c>
      <c r="G19" s="570">
        <v>285</v>
      </c>
      <c r="H19" s="554">
        <v>21363</v>
      </c>
      <c r="I19" s="555">
        <v>158.00000000000003</v>
      </c>
    </row>
    <row r="20" spans="1:9">
      <c r="A20" s="644">
        <v>2025</v>
      </c>
      <c r="B20" s="107" t="s">
        <v>61</v>
      </c>
      <c r="C20" s="163"/>
      <c r="D20" s="188">
        <v>4646.0000000000009</v>
      </c>
      <c r="E20" s="188">
        <v>1339</v>
      </c>
      <c r="F20" s="188">
        <v>1494</v>
      </c>
      <c r="G20" s="188">
        <v>1563</v>
      </c>
      <c r="H20" s="188">
        <v>20996</v>
      </c>
      <c r="I20" s="215">
        <v>311</v>
      </c>
    </row>
    <row r="21" spans="1:9">
      <c r="A21" s="116"/>
      <c r="B21" s="111" t="s">
        <v>62</v>
      </c>
      <c r="C21" s="164"/>
      <c r="D21" s="188">
        <v>2981.9999999999995</v>
      </c>
      <c r="E21" s="188">
        <v>4180.0000000000009</v>
      </c>
      <c r="F21" s="188">
        <v>1805.0000000000002</v>
      </c>
      <c r="G21" s="188">
        <v>298</v>
      </c>
      <c r="H21" s="188">
        <v>30355</v>
      </c>
      <c r="I21" s="215">
        <v>119</v>
      </c>
    </row>
    <row r="22" spans="1:9">
      <c r="A22" s="153"/>
      <c r="B22" s="154" t="s">
        <v>63</v>
      </c>
      <c r="C22" s="182"/>
      <c r="D22" s="188">
        <v>7369.9999999999991</v>
      </c>
      <c r="E22" s="188">
        <v>916.00000000000011</v>
      </c>
      <c r="F22" s="188">
        <v>6443</v>
      </c>
      <c r="G22" s="188">
        <v>608</v>
      </c>
      <c r="H22" s="188">
        <v>28243.000000000004</v>
      </c>
      <c r="I22" s="215">
        <v>135</v>
      </c>
    </row>
    <row r="23" spans="1:9">
      <c r="A23" s="155"/>
      <c r="B23" s="111" t="s">
        <v>64</v>
      </c>
      <c r="C23" s="164"/>
      <c r="D23" s="188">
        <v>4922</v>
      </c>
      <c r="E23" s="188">
        <v>3428</v>
      </c>
      <c r="F23" s="188">
        <v>3813</v>
      </c>
      <c r="G23" s="188">
        <v>513</v>
      </c>
      <c r="H23" s="188">
        <v>36578</v>
      </c>
      <c r="I23" s="215">
        <v>147</v>
      </c>
    </row>
    <row r="24" spans="1:9">
      <c r="A24" s="116"/>
      <c r="B24" s="111" t="s">
        <v>65</v>
      </c>
      <c r="C24" s="164"/>
      <c r="D24" s="188">
        <v>7968.9999999999991</v>
      </c>
      <c r="E24" s="188">
        <v>719</v>
      </c>
      <c r="F24" s="188">
        <v>4442</v>
      </c>
      <c r="G24" s="188">
        <v>955</v>
      </c>
      <c r="H24" s="188">
        <v>35813</v>
      </c>
      <c r="I24" s="215">
        <v>2241</v>
      </c>
    </row>
    <row r="25" spans="1:9">
      <c r="A25" s="153"/>
      <c r="B25" s="154" t="s">
        <v>66</v>
      </c>
      <c r="C25" s="182"/>
      <c r="D25" s="188">
        <v>4126</v>
      </c>
      <c r="E25" s="188">
        <v>924</v>
      </c>
      <c r="F25" s="188">
        <v>3303</v>
      </c>
      <c r="G25" s="188">
        <v>567</v>
      </c>
      <c r="H25" s="188">
        <v>26863</v>
      </c>
      <c r="I25" s="215">
        <v>487</v>
      </c>
    </row>
    <row r="26" spans="1:9">
      <c r="A26" s="153"/>
      <c r="B26" s="111" t="s">
        <v>67</v>
      </c>
      <c r="C26" s="164"/>
      <c r="D26" s="188">
        <v>4538</v>
      </c>
      <c r="E26" s="188">
        <v>798</v>
      </c>
      <c r="F26" s="188">
        <v>3881.9999999999995</v>
      </c>
      <c r="G26" s="188">
        <v>457.99999999999994</v>
      </c>
      <c r="H26" s="188">
        <v>22163</v>
      </c>
      <c r="I26" s="215">
        <v>187</v>
      </c>
    </row>
    <row r="27" spans="1:9">
      <c r="A27" s="116"/>
      <c r="B27" s="111" t="s">
        <v>68</v>
      </c>
      <c r="C27" s="164"/>
      <c r="D27" s="188">
        <v>7824</v>
      </c>
      <c r="E27" s="188">
        <v>941</v>
      </c>
      <c r="F27" s="188">
        <v>3521</v>
      </c>
      <c r="G27" s="188">
        <v>261</v>
      </c>
      <c r="H27" s="188">
        <v>24540.999999999996</v>
      </c>
      <c r="I27" s="215">
        <v>288.00000000000006</v>
      </c>
    </row>
    <row r="28" spans="1:9">
      <c r="A28" s="116"/>
      <c r="B28" s="154" t="s">
        <v>69</v>
      </c>
      <c r="C28" s="182"/>
      <c r="D28" s="188">
        <v>9698</v>
      </c>
      <c r="E28" s="188">
        <v>3556</v>
      </c>
      <c r="F28" s="188">
        <v>4778.0000000000009</v>
      </c>
      <c r="G28" s="188">
        <v>462</v>
      </c>
      <c r="H28" s="188">
        <v>26180</v>
      </c>
      <c r="I28" s="215">
        <v>173</v>
      </c>
    </row>
    <row r="29" spans="1:9">
      <c r="A29" s="116"/>
      <c r="B29" s="154" t="s">
        <v>70</v>
      </c>
      <c r="C29" s="182"/>
      <c r="D29" s="188">
        <v>4532.9999999999991</v>
      </c>
      <c r="E29" s="188">
        <v>1854</v>
      </c>
      <c r="F29" s="188">
        <v>5523</v>
      </c>
      <c r="G29" s="188">
        <v>324</v>
      </c>
      <c r="H29" s="188">
        <v>36074</v>
      </c>
      <c r="I29" s="215">
        <v>222</v>
      </c>
    </row>
    <row r="30" spans="1:9">
      <c r="A30" s="116"/>
      <c r="B30" s="154" t="s">
        <v>71</v>
      </c>
      <c r="C30" s="182"/>
      <c r="D30" s="188">
        <v>11539</v>
      </c>
      <c r="E30" s="188">
        <v>933.99999999999989</v>
      </c>
      <c r="F30" s="188">
        <v>1860</v>
      </c>
      <c r="G30" s="188">
        <v>280</v>
      </c>
      <c r="H30" s="188">
        <v>29237.000000000004</v>
      </c>
      <c r="I30" s="215">
        <v>183</v>
      </c>
    </row>
    <row r="31" spans="1:9">
      <c r="A31" s="144"/>
      <c r="B31" s="142" t="s">
        <v>72</v>
      </c>
      <c r="C31" s="567"/>
      <c r="D31" s="569">
        <v>2580</v>
      </c>
      <c r="E31" s="571">
        <v>640</v>
      </c>
      <c r="F31" s="569">
        <v>4697</v>
      </c>
      <c r="G31" s="566">
        <v>1108</v>
      </c>
      <c r="H31" s="139">
        <v>15405.999999999998</v>
      </c>
      <c r="I31" s="555">
        <v>355.00000000000006</v>
      </c>
    </row>
    <row r="32" spans="1:9">
      <c r="A32" s="644">
        <v>2026</v>
      </c>
      <c r="B32" s="107" t="s">
        <v>61</v>
      </c>
      <c r="C32" s="163"/>
      <c r="D32" s="188">
        <v>2969.9999999999995</v>
      </c>
      <c r="E32" s="188">
        <v>969</v>
      </c>
      <c r="F32" s="188">
        <v>2305</v>
      </c>
      <c r="G32" s="188">
        <v>273</v>
      </c>
      <c r="H32" s="188">
        <v>25656</v>
      </c>
      <c r="I32" s="215">
        <v>72</v>
      </c>
    </row>
    <row r="33" spans="1:12">
      <c r="A33" s="116"/>
      <c r="B33" s="111" t="s">
        <v>62</v>
      </c>
      <c r="C33" s="164"/>
      <c r="D33" s="188">
        <v>7418</v>
      </c>
      <c r="E33" s="188">
        <v>1355</v>
      </c>
      <c r="F33" s="188">
        <v>3931</v>
      </c>
      <c r="G33" s="188">
        <v>701</v>
      </c>
      <c r="H33" s="188">
        <v>17093</v>
      </c>
      <c r="I33" s="215">
        <v>246</v>
      </c>
    </row>
    <row r="34" spans="1:12">
      <c r="A34" s="153"/>
      <c r="B34" s="154" t="s">
        <v>63</v>
      </c>
      <c r="C34" s="182"/>
      <c r="D34" s="188" t="s">
        <v>50</v>
      </c>
      <c r="E34" s="188" t="s">
        <v>50</v>
      </c>
      <c r="F34" s="188" t="s">
        <v>50</v>
      </c>
      <c r="G34" s="188" t="s">
        <v>50</v>
      </c>
      <c r="H34" s="188" t="s">
        <v>50</v>
      </c>
      <c r="I34" s="215" t="s">
        <v>50</v>
      </c>
    </row>
    <row r="35" spans="1:12">
      <c r="A35" s="155"/>
      <c r="B35" s="111" t="s">
        <v>64</v>
      </c>
      <c r="C35" s="164"/>
      <c r="D35" s="188" t="s">
        <v>50</v>
      </c>
      <c r="E35" s="188" t="s">
        <v>50</v>
      </c>
      <c r="F35" s="188" t="s">
        <v>50</v>
      </c>
      <c r="G35" s="188" t="s">
        <v>50</v>
      </c>
      <c r="H35" s="188" t="s">
        <v>50</v>
      </c>
      <c r="I35" s="215" t="s">
        <v>50</v>
      </c>
    </row>
    <row r="36" spans="1:12">
      <c r="A36" s="116"/>
      <c r="B36" s="111" t="s">
        <v>65</v>
      </c>
      <c r="C36" s="164"/>
      <c r="D36" s="188" t="s">
        <v>50</v>
      </c>
      <c r="E36" s="188" t="s">
        <v>50</v>
      </c>
      <c r="F36" s="188" t="s">
        <v>50</v>
      </c>
      <c r="G36" s="188" t="s">
        <v>50</v>
      </c>
      <c r="H36" s="188" t="s">
        <v>50</v>
      </c>
      <c r="I36" s="215" t="s">
        <v>50</v>
      </c>
    </row>
    <row r="37" spans="1:12">
      <c r="A37" s="592"/>
      <c r="B37" s="154" t="s">
        <v>66</v>
      </c>
      <c r="C37" s="182"/>
      <c r="D37" s="188" t="s">
        <v>50</v>
      </c>
      <c r="E37" s="188" t="s">
        <v>50</v>
      </c>
      <c r="F37" s="188" t="s">
        <v>50</v>
      </c>
      <c r="G37" s="188" t="s">
        <v>50</v>
      </c>
      <c r="H37" s="188" t="s">
        <v>50</v>
      </c>
      <c r="I37" s="215" t="s">
        <v>50</v>
      </c>
    </row>
    <row r="38" spans="1:12">
      <c r="A38" s="592"/>
      <c r="B38" s="111" t="s">
        <v>67</v>
      </c>
      <c r="C38" s="164"/>
      <c r="D38" s="188" t="s">
        <v>50</v>
      </c>
      <c r="E38" s="188" t="s">
        <v>50</v>
      </c>
      <c r="F38" s="188" t="s">
        <v>50</v>
      </c>
      <c r="G38" s="188" t="s">
        <v>50</v>
      </c>
      <c r="H38" s="188" t="s">
        <v>50</v>
      </c>
      <c r="I38" s="215" t="s">
        <v>50</v>
      </c>
    </row>
    <row r="39" spans="1:12">
      <c r="A39" s="592"/>
      <c r="B39" s="111" t="s">
        <v>68</v>
      </c>
      <c r="C39" s="164"/>
      <c r="D39" s="188" t="s">
        <v>50</v>
      </c>
      <c r="E39" s="188" t="s">
        <v>50</v>
      </c>
      <c r="F39" s="188" t="s">
        <v>50</v>
      </c>
      <c r="G39" s="188" t="s">
        <v>50</v>
      </c>
      <c r="H39" s="188" t="s">
        <v>50</v>
      </c>
      <c r="I39" s="215" t="s">
        <v>50</v>
      </c>
    </row>
    <row r="40" spans="1:12">
      <c r="A40" s="592"/>
      <c r="B40" s="154" t="s">
        <v>69</v>
      </c>
      <c r="C40" s="182"/>
      <c r="D40" s="188" t="s">
        <v>50</v>
      </c>
      <c r="E40" s="188" t="s">
        <v>50</v>
      </c>
      <c r="F40" s="188" t="s">
        <v>50</v>
      </c>
      <c r="G40" s="188" t="s">
        <v>50</v>
      </c>
      <c r="H40" s="188" t="s">
        <v>50</v>
      </c>
      <c r="I40" s="215" t="s">
        <v>50</v>
      </c>
    </row>
    <row r="41" spans="1:12">
      <c r="A41" s="592"/>
      <c r="B41" s="154" t="s">
        <v>70</v>
      </c>
      <c r="C41" s="182"/>
      <c r="D41" s="188" t="s">
        <v>50</v>
      </c>
      <c r="E41" s="188" t="s">
        <v>50</v>
      </c>
      <c r="F41" s="188" t="s">
        <v>50</v>
      </c>
      <c r="G41" s="188" t="s">
        <v>50</v>
      </c>
      <c r="H41" s="188" t="s">
        <v>50</v>
      </c>
      <c r="I41" s="215" t="s">
        <v>50</v>
      </c>
    </row>
    <row r="42" spans="1:12">
      <c r="A42" s="592"/>
      <c r="B42" s="154" t="s">
        <v>71</v>
      </c>
      <c r="C42" s="182"/>
      <c r="D42" s="373" t="s">
        <v>50</v>
      </c>
      <c r="E42" s="373" t="s">
        <v>50</v>
      </c>
      <c r="F42" s="373" t="s">
        <v>50</v>
      </c>
      <c r="G42" s="373" t="s">
        <v>50</v>
      </c>
      <c r="H42" s="373" t="s">
        <v>50</v>
      </c>
      <c r="I42" s="374" t="s">
        <v>50</v>
      </c>
    </row>
    <row r="43" spans="1:12" ht="12" thickBot="1">
      <c r="A43" s="608"/>
      <c r="B43" s="156" t="s">
        <v>72</v>
      </c>
      <c r="C43" s="184"/>
      <c r="D43" s="311" t="s">
        <v>50</v>
      </c>
      <c r="E43" s="311" t="s">
        <v>50</v>
      </c>
      <c r="F43" s="311" t="s">
        <v>50</v>
      </c>
      <c r="G43" s="311" t="s">
        <v>50</v>
      </c>
      <c r="H43" s="311" t="s">
        <v>50</v>
      </c>
      <c r="I43" s="312" t="s">
        <v>50</v>
      </c>
    </row>
    <row r="44" spans="1:12" s="723" customFormat="1" ht="12" customHeight="1">
      <c r="A44" s="698" t="str">
        <f>Titles!$A$12</f>
        <v>1 Data for 2023, 2024 and 2025 based on 2021 Census Definitions.</v>
      </c>
      <c r="B44" s="699"/>
      <c r="C44" s="700"/>
      <c r="D44" s="701"/>
      <c r="E44" s="702"/>
      <c r="F44" s="701"/>
      <c r="G44" s="701"/>
      <c r="H44" s="703"/>
      <c r="I44" s="704"/>
      <c r="J44" s="699"/>
      <c r="K44" s="721"/>
      <c r="L44" s="722"/>
    </row>
    <row r="45" spans="1:12">
      <c r="A45" s="705" t="s">
        <v>114</v>
      </c>
      <c r="B45" s="706"/>
      <c r="C45" s="706"/>
      <c r="D45" s="706"/>
      <c r="E45" s="707"/>
      <c r="F45" s="708"/>
      <c r="G45" s="708"/>
      <c r="H45" s="708"/>
      <c r="I45" s="697"/>
    </row>
    <row r="46" spans="1:12" s="697" customFormat="1" ht="10.9" customHeight="1">
      <c r="A46" s="709" t="str">
        <f>Titles!$A$10</f>
        <v>Source: CMHC Starts and Completion Survey, Market Absorption Survey</v>
      </c>
      <c r="B46" s="706"/>
      <c r="C46" s="706"/>
      <c r="D46" s="706"/>
      <c r="E46" s="710"/>
      <c r="F46" s="706"/>
      <c r="G46" s="706"/>
      <c r="H46" s="706"/>
    </row>
    <row r="47" spans="1:12" s="697" customFormat="1" ht="10.9" customHeight="1">
      <c r="A47" s="724"/>
    </row>
    <row r="48" spans="1:12" ht="12" customHeight="1">
      <c r="A48" s="711"/>
      <c r="B48" s="712"/>
      <c r="C48" s="712"/>
      <c r="D48" s="713"/>
      <c r="E48" s="713"/>
      <c r="F48" s="713"/>
      <c r="G48" s="714"/>
      <c r="H48" s="712"/>
      <c r="I48" s="715"/>
    </row>
    <row r="49" spans="1:9" ht="9.75" customHeight="1">
      <c r="I49" s="715"/>
    </row>
    <row r="61" spans="1:9">
      <c r="A61" s="698"/>
      <c r="B61" s="716"/>
      <c r="C61" s="700"/>
      <c r="D61" s="703"/>
      <c r="E61" s="703"/>
      <c r="F61" s="702"/>
    </row>
    <row r="62" spans="1:9" ht="15.5">
      <c r="A62" s="698"/>
      <c r="B62" s="717"/>
      <c r="C62" s="717"/>
      <c r="D62" s="717"/>
      <c r="E62" s="717"/>
      <c r="F62" s="702"/>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62"/>
  <sheetViews>
    <sheetView zoomScale="115" zoomScaleNormal="115" workbookViewId="0">
      <pane xSplit="3" ySplit="5" topLeftCell="D6" activePane="bottomRight" state="frozen"/>
      <selection pane="topRight"/>
      <selection pane="bottomLeft"/>
      <selection pane="bottomRight"/>
    </sheetView>
  </sheetViews>
  <sheetFormatPr defaultColWidth="11.53515625" defaultRowHeight="11.5"/>
  <cols>
    <col min="1" max="1" width="8.765625" style="718" customWidth="1"/>
    <col min="2" max="2" width="9.23046875" style="696" customWidth="1"/>
    <col min="3" max="4" width="8.765625" style="696" customWidth="1"/>
    <col min="5" max="8" width="11" style="696" customWidth="1"/>
    <col min="9" max="16384" width="11.53515625" style="696"/>
  </cols>
  <sheetData>
    <row r="1" spans="1:11" s="695" customFormat="1" ht="16.149999999999999" customHeight="1">
      <c r="A1" s="602" t="s">
        <v>132</v>
      </c>
      <c r="B1" s="416"/>
      <c r="C1" s="416"/>
      <c r="D1" s="416"/>
      <c r="E1" s="416"/>
      <c r="F1" s="416"/>
      <c r="G1" s="416"/>
      <c r="H1" s="416"/>
      <c r="I1" s="416"/>
      <c r="J1" s="416"/>
      <c r="K1" s="417"/>
    </row>
    <row r="2" spans="1:11" s="695" customFormat="1" ht="16.149999999999999" customHeight="1">
      <c r="A2" s="603" t="s">
        <v>143</v>
      </c>
      <c r="B2" s="419"/>
      <c r="C2" s="419"/>
      <c r="D2" s="419"/>
      <c r="E2" s="419"/>
      <c r="F2" s="419"/>
      <c r="G2" s="419"/>
      <c r="H2" s="419"/>
      <c r="I2" s="419"/>
      <c r="J2" s="419"/>
      <c r="K2" s="420"/>
    </row>
    <row r="3" spans="1:11" s="695" customFormat="1" ht="16.149999999999999" customHeight="1" thickBot="1">
      <c r="A3" s="604"/>
      <c r="B3" s="456"/>
      <c r="C3" s="456"/>
      <c r="D3" s="456"/>
      <c r="E3" s="456"/>
      <c r="F3" s="456"/>
      <c r="G3" s="456"/>
      <c r="H3" s="456"/>
      <c r="I3" s="456"/>
      <c r="J3" s="456"/>
      <c r="K3" s="457"/>
    </row>
    <row r="4" spans="1:11" ht="23.25" customHeight="1">
      <c r="A4" s="605"/>
      <c r="B4" s="89"/>
      <c r="C4" s="118"/>
      <c r="D4" s="379" t="s">
        <v>17</v>
      </c>
      <c r="E4" s="379" t="s">
        <v>21</v>
      </c>
      <c r="F4" s="468" t="s">
        <v>104</v>
      </c>
      <c r="G4" s="379" t="s">
        <v>40</v>
      </c>
      <c r="H4" s="379" t="s">
        <v>41</v>
      </c>
      <c r="I4" s="672" t="s">
        <v>179</v>
      </c>
      <c r="J4" s="672" t="s">
        <v>182</v>
      </c>
      <c r="K4" s="673" t="s">
        <v>183</v>
      </c>
    </row>
    <row r="5" spans="1:11">
      <c r="A5" s="606" t="s">
        <v>93</v>
      </c>
      <c r="B5" s="139"/>
      <c r="C5" s="145"/>
      <c r="D5" s="380"/>
      <c r="E5" s="380"/>
      <c r="F5" s="469"/>
      <c r="G5" s="380"/>
      <c r="H5" s="380"/>
      <c r="I5" s="146"/>
      <c r="J5" s="146"/>
      <c r="K5" s="665"/>
    </row>
    <row r="6" spans="1:11" ht="13.5">
      <c r="A6" s="643" t="s">
        <v>262</v>
      </c>
      <c r="B6" s="142"/>
      <c r="C6" s="743"/>
      <c r="D6" s="366">
        <v>18384</v>
      </c>
      <c r="E6" s="366">
        <v>3790</v>
      </c>
      <c r="F6" s="366">
        <v>1183</v>
      </c>
      <c r="G6" s="366">
        <v>28112</v>
      </c>
      <c r="H6" s="366">
        <v>4185</v>
      </c>
      <c r="I6" s="366">
        <v>650</v>
      </c>
      <c r="J6" s="366">
        <v>630</v>
      </c>
      <c r="K6" s="366">
        <v>1029</v>
      </c>
    </row>
    <row r="7" spans="1:11" ht="13.5">
      <c r="A7" s="643" t="s">
        <v>267</v>
      </c>
      <c r="B7" s="142"/>
      <c r="C7" s="743"/>
      <c r="D7" s="366">
        <v>21337</v>
      </c>
      <c r="E7" s="366">
        <v>2600</v>
      </c>
      <c r="F7" s="366">
        <v>2125</v>
      </c>
      <c r="G7" s="366">
        <v>27185</v>
      </c>
      <c r="H7" s="366">
        <v>4859</v>
      </c>
      <c r="I7" s="366">
        <v>598</v>
      </c>
      <c r="J7" s="366">
        <v>441</v>
      </c>
      <c r="K7" s="366">
        <v>448</v>
      </c>
    </row>
    <row r="8" spans="1:11">
      <c r="A8" s="638">
        <v>2024</v>
      </c>
      <c r="B8" s="107" t="s">
        <v>61</v>
      </c>
      <c r="C8" s="163"/>
      <c r="D8" s="188">
        <v>11206</v>
      </c>
      <c r="E8" s="188">
        <v>1515.0000000000002</v>
      </c>
      <c r="F8" s="188">
        <v>1277.0000000000002</v>
      </c>
      <c r="G8" s="188">
        <v>18299</v>
      </c>
      <c r="H8" s="188">
        <v>2248</v>
      </c>
      <c r="I8" s="188">
        <v>111</v>
      </c>
      <c r="J8" s="188">
        <v>41.999999999999993</v>
      </c>
      <c r="K8" s="215">
        <v>2570.9999999999995</v>
      </c>
    </row>
    <row r="9" spans="1:11">
      <c r="A9" s="116"/>
      <c r="B9" s="111" t="s">
        <v>62</v>
      </c>
      <c r="C9" s="164"/>
      <c r="D9" s="188">
        <v>20381.999999999996</v>
      </c>
      <c r="E9" s="188">
        <v>4419.0000000000009</v>
      </c>
      <c r="F9" s="188">
        <v>826.00000000000011</v>
      </c>
      <c r="G9" s="188">
        <v>32941</v>
      </c>
      <c r="H9" s="188">
        <v>3391</v>
      </c>
      <c r="I9" s="188">
        <v>309</v>
      </c>
      <c r="J9" s="188">
        <v>267</v>
      </c>
      <c r="K9" s="215">
        <v>216.00000000000003</v>
      </c>
    </row>
    <row r="10" spans="1:11">
      <c r="A10" s="153"/>
      <c r="B10" s="154" t="s">
        <v>63</v>
      </c>
      <c r="C10" s="182"/>
      <c r="D10" s="188">
        <v>14597</v>
      </c>
      <c r="E10" s="188">
        <v>4780</v>
      </c>
      <c r="F10" s="188">
        <v>1847.9999999999998</v>
      </c>
      <c r="G10" s="188">
        <v>41759</v>
      </c>
      <c r="H10" s="188">
        <v>5475</v>
      </c>
      <c r="I10" s="188">
        <v>1557</v>
      </c>
      <c r="J10" s="188">
        <v>198.99999999999997</v>
      </c>
      <c r="K10" s="215">
        <v>30</v>
      </c>
    </row>
    <row r="11" spans="1:11">
      <c r="A11" s="155"/>
      <c r="B11" s="111" t="s">
        <v>64</v>
      </c>
      <c r="C11" s="164"/>
      <c r="D11" s="188">
        <v>19409</v>
      </c>
      <c r="E11" s="188">
        <v>2365</v>
      </c>
      <c r="F11" s="188">
        <v>690</v>
      </c>
      <c r="G11" s="188">
        <v>34721</v>
      </c>
      <c r="H11" s="188">
        <v>6072</v>
      </c>
      <c r="I11" s="188">
        <v>204.00000000000003</v>
      </c>
      <c r="J11" s="188">
        <v>120</v>
      </c>
      <c r="K11" s="215">
        <v>4595</v>
      </c>
    </row>
    <row r="12" spans="1:11">
      <c r="A12" s="116"/>
      <c r="B12" s="111" t="s">
        <v>65</v>
      </c>
      <c r="C12" s="164"/>
      <c r="D12" s="188">
        <v>21216</v>
      </c>
      <c r="E12" s="188">
        <v>12596</v>
      </c>
      <c r="F12" s="188">
        <v>1647</v>
      </c>
      <c r="G12" s="188">
        <v>23525</v>
      </c>
      <c r="H12" s="188">
        <v>1802</v>
      </c>
      <c r="I12" s="188">
        <v>316</v>
      </c>
      <c r="J12" s="188">
        <v>1270</v>
      </c>
      <c r="K12" s="215">
        <v>312</v>
      </c>
    </row>
    <row r="13" spans="1:11">
      <c r="A13" s="153"/>
      <c r="B13" s="154" t="s">
        <v>66</v>
      </c>
      <c r="C13" s="182"/>
      <c r="D13" s="188">
        <v>16024</v>
      </c>
      <c r="E13" s="188">
        <v>7191</v>
      </c>
      <c r="F13" s="188">
        <v>484</v>
      </c>
      <c r="G13" s="188">
        <v>20599</v>
      </c>
      <c r="H13" s="188">
        <v>4037</v>
      </c>
      <c r="I13" s="188">
        <v>1404</v>
      </c>
      <c r="J13" s="188">
        <v>142.00000000000003</v>
      </c>
      <c r="K13" s="215">
        <v>923</v>
      </c>
    </row>
    <row r="14" spans="1:11">
      <c r="A14" s="153"/>
      <c r="B14" s="111" t="s">
        <v>67</v>
      </c>
      <c r="C14" s="164"/>
      <c r="D14" s="188">
        <v>18323</v>
      </c>
      <c r="E14" s="188">
        <v>5085</v>
      </c>
      <c r="F14" s="188">
        <v>596.00000000000011</v>
      </c>
      <c r="G14" s="188">
        <v>30037</v>
      </c>
      <c r="H14" s="188">
        <v>4201.0000000000009</v>
      </c>
      <c r="I14" s="188">
        <v>339</v>
      </c>
      <c r="J14" s="188">
        <v>290</v>
      </c>
      <c r="K14" s="215">
        <v>641</v>
      </c>
    </row>
    <row r="15" spans="1:11">
      <c r="A15" s="116"/>
      <c r="B15" s="111" t="s">
        <v>68</v>
      </c>
      <c r="C15" s="164"/>
      <c r="D15" s="188">
        <v>21046.999999999996</v>
      </c>
      <c r="E15" s="188">
        <v>669.99999999999989</v>
      </c>
      <c r="F15" s="188">
        <v>265</v>
      </c>
      <c r="G15" s="188">
        <v>20404</v>
      </c>
      <c r="H15" s="188">
        <v>5372</v>
      </c>
      <c r="I15" s="188">
        <v>246</v>
      </c>
      <c r="J15" s="188">
        <v>57.999999999999993</v>
      </c>
      <c r="K15" s="215">
        <v>150</v>
      </c>
    </row>
    <row r="16" spans="1:11">
      <c r="A16" s="116"/>
      <c r="B16" s="154" t="s">
        <v>69</v>
      </c>
      <c r="C16" s="182"/>
      <c r="D16" s="188">
        <v>16808.999999999996</v>
      </c>
      <c r="E16" s="188">
        <v>5553</v>
      </c>
      <c r="F16" s="188">
        <v>3171.0000000000005</v>
      </c>
      <c r="G16" s="188">
        <v>23426.000000000004</v>
      </c>
      <c r="H16" s="188">
        <v>4274</v>
      </c>
      <c r="I16" s="188">
        <v>184</v>
      </c>
      <c r="J16" s="188">
        <v>781</v>
      </c>
      <c r="K16" s="215">
        <v>164</v>
      </c>
    </row>
    <row r="17" spans="1:11">
      <c r="A17" s="116"/>
      <c r="B17" s="154" t="s">
        <v>70</v>
      </c>
      <c r="C17" s="182"/>
      <c r="D17" s="188">
        <v>16881.999999999996</v>
      </c>
      <c r="E17" s="188">
        <v>628</v>
      </c>
      <c r="F17" s="188">
        <v>768</v>
      </c>
      <c r="G17" s="188">
        <v>30411</v>
      </c>
      <c r="H17" s="188">
        <v>3471</v>
      </c>
      <c r="I17" s="188">
        <v>141</v>
      </c>
      <c r="J17" s="188">
        <v>832.00000000000011</v>
      </c>
      <c r="K17" s="215">
        <v>304</v>
      </c>
    </row>
    <row r="18" spans="1:11">
      <c r="A18" s="116"/>
      <c r="B18" s="154" t="s">
        <v>71</v>
      </c>
      <c r="C18" s="182"/>
      <c r="D18" s="188">
        <v>25573.999999999996</v>
      </c>
      <c r="E18" s="188">
        <v>590</v>
      </c>
      <c r="F18" s="188">
        <v>980.99999999999989</v>
      </c>
      <c r="G18" s="188">
        <v>32049.999999999996</v>
      </c>
      <c r="H18" s="188">
        <v>3732</v>
      </c>
      <c r="I18" s="188">
        <v>1743</v>
      </c>
      <c r="J18" s="188">
        <v>3494</v>
      </c>
      <c r="K18" s="215">
        <v>1773.0000000000002</v>
      </c>
    </row>
    <row r="19" spans="1:11">
      <c r="A19" s="144"/>
      <c r="B19" s="142" t="s">
        <v>72</v>
      </c>
      <c r="C19" s="567"/>
      <c r="D19" s="569">
        <v>17854</v>
      </c>
      <c r="E19" s="571">
        <v>200</v>
      </c>
      <c r="F19" s="569">
        <v>1638</v>
      </c>
      <c r="G19" s="571">
        <v>28958</v>
      </c>
      <c r="H19" s="571">
        <v>6103</v>
      </c>
      <c r="I19" s="570">
        <v>1225</v>
      </c>
      <c r="J19" s="554">
        <v>86</v>
      </c>
      <c r="K19" s="555">
        <v>750.99999999999989</v>
      </c>
    </row>
    <row r="20" spans="1:11">
      <c r="A20" s="644">
        <v>2025</v>
      </c>
      <c r="B20" s="107" t="s">
        <v>61</v>
      </c>
      <c r="C20" s="163"/>
      <c r="D20" s="188">
        <v>18460</v>
      </c>
      <c r="E20" s="188">
        <v>4484</v>
      </c>
      <c r="F20" s="188">
        <v>3629</v>
      </c>
      <c r="G20" s="188">
        <v>24954</v>
      </c>
      <c r="H20" s="188">
        <v>1359</v>
      </c>
      <c r="I20" s="188">
        <v>182</v>
      </c>
      <c r="J20" s="188">
        <v>239</v>
      </c>
      <c r="K20" s="215">
        <v>72</v>
      </c>
    </row>
    <row r="21" spans="1:11">
      <c r="A21" s="116"/>
      <c r="B21" s="111" t="s">
        <v>62</v>
      </c>
      <c r="C21" s="164"/>
      <c r="D21" s="188">
        <v>19057.000000000004</v>
      </c>
      <c r="E21" s="188">
        <v>1508</v>
      </c>
      <c r="F21" s="188">
        <v>1971</v>
      </c>
      <c r="G21" s="188">
        <v>17252</v>
      </c>
      <c r="H21" s="188">
        <v>1730.9999999999998</v>
      </c>
      <c r="I21" s="188">
        <v>637</v>
      </c>
      <c r="J21" s="188">
        <v>1213</v>
      </c>
      <c r="K21" s="215">
        <v>1023.0000000000001</v>
      </c>
    </row>
    <row r="22" spans="1:11">
      <c r="A22" s="153"/>
      <c r="B22" s="154" t="s">
        <v>63</v>
      </c>
      <c r="C22" s="182"/>
      <c r="D22" s="188">
        <v>18146</v>
      </c>
      <c r="E22" s="188">
        <v>884</v>
      </c>
      <c r="F22" s="188">
        <v>2861</v>
      </c>
      <c r="G22" s="188">
        <v>17450</v>
      </c>
      <c r="H22" s="188">
        <v>4403</v>
      </c>
      <c r="I22" s="188">
        <v>937</v>
      </c>
      <c r="J22" s="188">
        <v>205.99999999999997</v>
      </c>
      <c r="K22" s="215">
        <v>203</v>
      </c>
    </row>
    <row r="23" spans="1:11">
      <c r="A23" s="155"/>
      <c r="B23" s="111" t="s">
        <v>64</v>
      </c>
      <c r="C23" s="164"/>
      <c r="D23" s="188">
        <v>22244</v>
      </c>
      <c r="E23" s="188">
        <v>2352.9999999999995</v>
      </c>
      <c r="F23" s="188">
        <v>2488</v>
      </c>
      <c r="G23" s="188">
        <v>36827</v>
      </c>
      <c r="H23" s="188">
        <v>4667</v>
      </c>
      <c r="I23" s="188">
        <v>1513</v>
      </c>
      <c r="J23" s="188">
        <v>96</v>
      </c>
      <c r="K23" s="215">
        <v>307.00000000000006</v>
      </c>
    </row>
    <row r="24" spans="1:11">
      <c r="A24" s="116"/>
      <c r="B24" s="111" t="s">
        <v>65</v>
      </c>
      <c r="C24" s="164"/>
      <c r="D24" s="188">
        <v>25485</v>
      </c>
      <c r="E24" s="188">
        <v>4907</v>
      </c>
      <c r="F24" s="188">
        <v>711.00000000000011</v>
      </c>
      <c r="G24" s="188">
        <v>21140</v>
      </c>
      <c r="H24" s="188">
        <v>4511</v>
      </c>
      <c r="I24" s="188">
        <v>230.99999999999997</v>
      </c>
      <c r="J24" s="188">
        <v>86</v>
      </c>
      <c r="K24" s="215">
        <v>261</v>
      </c>
    </row>
    <row r="25" spans="1:11">
      <c r="A25" s="153"/>
      <c r="B25" s="154" t="s">
        <v>66</v>
      </c>
      <c r="C25" s="182"/>
      <c r="D25" s="188">
        <v>30686.999999999996</v>
      </c>
      <c r="E25" s="188">
        <v>7840.0000000000009</v>
      </c>
      <c r="F25" s="188">
        <v>3742</v>
      </c>
      <c r="G25" s="188">
        <v>36549</v>
      </c>
      <c r="H25" s="188">
        <v>11588.999999999998</v>
      </c>
      <c r="I25" s="188">
        <v>290</v>
      </c>
      <c r="J25" s="188">
        <v>242.00000000000003</v>
      </c>
      <c r="K25" s="215">
        <v>627</v>
      </c>
    </row>
    <row r="26" spans="1:11">
      <c r="A26" s="153"/>
      <c r="B26" s="111" t="s">
        <v>67</v>
      </c>
      <c r="C26" s="164"/>
      <c r="D26" s="188">
        <v>25230</v>
      </c>
      <c r="E26" s="188">
        <v>2344</v>
      </c>
      <c r="F26" s="188">
        <v>2626</v>
      </c>
      <c r="G26" s="188">
        <v>37128</v>
      </c>
      <c r="H26" s="188">
        <v>6928</v>
      </c>
      <c r="I26" s="188">
        <v>255</v>
      </c>
      <c r="J26" s="188">
        <v>2176</v>
      </c>
      <c r="K26" s="215">
        <v>113.99999999999999</v>
      </c>
    </row>
    <row r="27" spans="1:11">
      <c r="A27" s="116"/>
      <c r="B27" s="111" t="s">
        <v>68</v>
      </c>
      <c r="C27" s="164"/>
      <c r="D27" s="188">
        <v>18636.000000000004</v>
      </c>
      <c r="E27" s="188">
        <v>273</v>
      </c>
      <c r="F27" s="188">
        <v>979</v>
      </c>
      <c r="G27" s="188">
        <v>29962</v>
      </c>
      <c r="H27" s="188">
        <v>7537</v>
      </c>
      <c r="I27" s="188">
        <v>192</v>
      </c>
      <c r="J27" s="188">
        <v>10</v>
      </c>
      <c r="K27" s="215">
        <v>1413</v>
      </c>
    </row>
    <row r="28" spans="1:11">
      <c r="A28" s="116"/>
      <c r="B28" s="154" t="s">
        <v>69</v>
      </c>
      <c r="C28" s="182"/>
      <c r="D28" s="188">
        <v>21066</v>
      </c>
      <c r="E28" s="188">
        <v>1174</v>
      </c>
      <c r="F28" s="188">
        <v>2718</v>
      </c>
      <c r="G28" s="188">
        <v>23241</v>
      </c>
      <c r="H28" s="188">
        <v>2651.0000000000005</v>
      </c>
      <c r="I28" s="188">
        <v>1205</v>
      </c>
      <c r="J28" s="188">
        <v>91</v>
      </c>
      <c r="K28" s="215">
        <v>220.99999999999997</v>
      </c>
    </row>
    <row r="29" spans="1:11">
      <c r="A29" s="116"/>
      <c r="B29" s="154" t="s">
        <v>70</v>
      </c>
      <c r="C29" s="182"/>
      <c r="D29" s="188">
        <v>17563.000000000004</v>
      </c>
      <c r="E29" s="188">
        <v>2183</v>
      </c>
      <c r="F29" s="188">
        <v>2724</v>
      </c>
      <c r="G29" s="188">
        <v>19456</v>
      </c>
      <c r="H29" s="188">
        <v>4253</v>
      </c>
      <c r="I29" s="188">
        <v>413</v>
      </c>
      <c r="J29" s="188">
        <v>90</v>
      </c>
      <c r="K29" s="215">
        <v>372</v>
      </c>
    </row>
    <row r="30" spans="1:11">
      <c r="A30" s="116"/>
      <c r="B30" s="154" t="s">
        <v>71</v>
      </c>
      <c r="C30" s="182"/>
      <c r="D30" s="188">
        <v>19667</v>
      </c>
      <c r="E30" s="188">
        <v>2555</v>
      </c>
      <c r="F30" s="188">
        <v>580.00000000000011</v>
      </c>
      <c r="G30" s="188">
        <v>28534</v>
      </c>
      <c r="H30" s="188">
        <v>3239.9999999999995</v>
      </c>
      <c r="I30" s="188">
        <v>773</v>
      </c>
      <c r="J30" s="188">
        <v>431.00000000000006</v>
      </c>
      <c r="K30" s="215">
        <v>500</v>
      </c>
    </row>
    <row r="31" spans="1:11">
      <c r="A31" s="144"/>
      <c r="B31" s="142" t="s">
        <v>72</v>
      </c>
      <c r="C31" s="567"/>
      <c r="D31" s="569">
        <v>21121.000000000004</v>
      </c>
      <c r="E31" s="571">
        <v>866</v>
      </c>
      <c r="F31" s="569">
        <v>473</v>
      </c>
      <c r="G31" s="569">
        <v>33931.000000000007</v>
      </c>
      <c r="H31" s="571">
        <v>5415</v>
      </c>
      <c r="I31" s="566">
        <v>533</v>
      </c>
      <c r="J31" s="139">
        <v>433.99999999999994</v>
      </c>
      <c r="K31" s="555">
        <v>197.99999999999997</v>
      </c>
    </row>
    <row r="32" spans="1:11">
      <c r="A32" s="644">
        <v>2026</v>
      </c>
      <c r="B32" s="107" t="s">
        <v>61</v>
      </c>
      <c r="C32" s="163"/>
      <c r="D32" s="188">
        <v>14172</v>
      </c>
      <c r="E32" s="188">
        <v>2574</v>
      </c>
      <c r="F32" s="188">
        <v>516.99999999999989</v>
      </c>
      <c r="G32" s="188">
        <v>33642</v>
      </c>
      <c r="H32" s="188">
        <v>5026</v>
      </c>
      <c r="I32" s="188">
        <v>195</v>
      </c>
      <c r="J32" s="188">
        <v>5003</v>
      </c>
      <c r="K32" s="215">
        <v>85</v>
      </c>
    </row>
    <row r="33" spans="1:12">
      <c r="A33" s="116"/>
      <c r="B33" s="111" t="s">
        <v>62</v>
      </c>
      <c r="C33" s="164"/>
      <c r="D33" s="188">
        <v>19045</v>
      </c>
      <c r="E33" s="188">
        <v>4250.9999999999991</v>
      </c>
      <c r="F33" s="188">
        <v>261</v>
      </c>
      <c r="G33" s="188">
        <v>27425</v>
      </c>
      <c r="H33" s="188">
        <v>1936</v>
      </c>
      <c r="I33" s="188">
        <v>243</v>
      </c>
      <c r="J33" s="188">
        <v>432</v>
      </c>
      <c r="K33" s="215">
        <v>102.00000000000001</v>
      </c>
    </row>
    <row r="34" spans="1:12">
      <c r="A34" s="153"/>
      <c r="B34" s="154" t="s">
        <v>63</v>
      </c>
      <c r="C34" s="182"/>
      <c r="D34" s="188" t="s">
        <v>50</v>
      </c>
      <c r="E34" s="188" t="s">
        <v>50</v>
      </c>
      <c r="F34" s="188" t="s">
        <v>50</v>
      </c>
      <c r="G34" s="188" t="s">
        <v>50</v>
      </c>
      <c r="H34" s="188" t="s">
        <v>50</v>
      </c>
      <c r="I34" s="188" t="s">
        <v>50</v>
      </c>
      <c r="J34" s="188" t="s">
        <v>50</v>
      </c>
      <c r="K34" s="215" t="s">
        <v>50</v>
      </c>
    </row>
    <row r="35" spans="1:12">
      <c r="A35" s="155"/>
      <c r="B35" s="111" t="s">
        <v>64</v>
      </c>
      <c r="C35" s="164"/>
      <c r="D35" s="188" t="s">
        <v>50</v>
      </c>
      <c r="E35" s="188" t="s">
        <v>50</v>
      </c>
      <c r="F35" s="188" t="s">
        <v>50</v>
      </c>
      <c r="G35" s="188" t="s">
        <v>50</v>
      </c>
      <c r="H35" s="188" t="s">
        <v>50</v>
      </c>
      <c r="I35" s="188" t="s">
        <v>50</v>
      </c>
      <c r="J35" s="188" t="s">
        <v>50</v>
      </c>
      <c r="K35" s="215" t="s">
        <v>50</v>
      </c>
    </row>
    <row r="36" spans="1:12">
      <c r="A36" s="116"/>
      <c r="B36" s="111" t="s">
        <v>65</v>
      </c>
      <c r="C36" s="164"/>
      <c r="D36" s="188" t="s">
        <v>50</v>
      </c>
      <c r="E36" s="188" t="s">
        <v>50</v>
      </c>
      <c r="F36" s="188" t="s">
        <v>50</v>
      </c>
      <c r="G36" s="188" t="s">
        <v>50</v>
      </c>
      <c r="H36" s="188" t="s">
        <v>50</v>
      </c>
      <c r="I36" s="188" t="s">
        <v>50</v>
      </c>
      <c r="J36" s="188" t="s">
        <v>50</v>
      </c>
      <c r="K36" s="215" t="s">
        <v>50</v>
      </c>
    </row>
    <row r="37" spans="1:12">
      <c r="A37" s="592"/>
      <c r="B37" s="154" t="s">
        <v>66</v>
      </c>
      <c r="C37" s="182"/>
      <c r="D37" s="188" t="s">
        <v>50</v>
      </c>
      <c r="E37" s="188" t="s">
        <v>50</v>
      </c>
      <c r="F37" s="188" t="s">
        <v>50</v>
      </c>
      <c r="G37" s="188" t="s">
        <v>50</v>
      </c>
      <c r="H37" s="188" t="s">
        <v>50</v>
      </c>
      <c r="I37" s="188" t="s">
        <v>50</v>
      </c>
      <c r="J37" s="188" t="s">
        <v>50</v>
      </c>
      <c r="K37" s="215" t="s">
        <v>50</v>
      </c>
    </row>
    <row r="38" spans="1:12">
      <c r="A38" s="592"/>
      <c r="B38" s="111" t="s">
        <v>67</v>
      </c>
      <c r="C38" s="164"/>
      <c r="D38" s="188" t="s">
        <v>50</v>
      </c>
      <c r="E38" s="188" t="s">
        <v>50</v>
      </c>
      <c r="F38" s="188" t="s">
        <v>50</v>
      </c>
      <c r="G38" s="188" t="s">
        <v>50</v>
      </c>
      <c r="H38" s="188" t="s">
        <v>50</v>
      </c>
      <c r="I38" s="188" t="s">
        <v>50</v>
      </c>
      <c r="J38" s="188" t="s">
        <v>50</v>
      </c>
      <c r="K38" s="215" t="s">
        <v>50</v>
      </c>
    </row>
    <row r="39" spans="1:12">
      <c r="A39" s="592"/>
      <c r="B39" s="111" t="s">
        <v>68</v>
      </c>
      <c r="C39" s="164"/>
      <c r="D39" s="188" t="s">
        <v>50</v>
      </c>
      <c r="E39" s="188" t="s">
        <v>50</v>
      </c>
      <c r="F39" s="188" t="s">
        <v>50</v>
      </c>
      <c r="G39" s="188" t="s">
        <v>50</v>
      </c>
      <c r="H39" s="188" t="s">
        <v>50</v>
      </c>
      <c r="I39" s="188" t="s">
        <v>50</v>
      </c>
      <c r="J39" s="188" t="s">
        <v>50</v>
      </c>
      <c r="K39" s="215" t="s">
        <v>50</v>
      </c>
    </row>
    <row r="40" spans="1:12">
      <c r="A40" s="592"/>
      <c r="B40" s="154" t="s">
        <v>69</v>
      </c>
      <c r="C40" s="182"/>
      <c r="D40" s="188" t="s">
        <v>50</v>
      </c>
      <c r="E40" s="188" t="s">
        <v>50</v>
      </c>
      <c r="F40" s="188" t="s">
        <v>50</v>
      </c>
      <c r="G40" s="188" t="s">
        <v>50</v>
      </c>
      <c r="H40" s="188" t="s">
        <v>50</v>
      </c>
      <c r="I40" s="188" t="s">
        <v>50</v>
      </c>
      <c r="J40" s="188" t="s">
        <v>50</v>
      </c>
      <c r="K40" s="215" t="s">
        <v>50</v>
      </c>
    </row>
    <row r="41" spans="1:12">
      <c r="A41" s="592"/>
      <c r="B41" s="154" t="s">
        <v>70</v>
      </c>
      <c r="C41" s="182"/>
      <c r="D41" s="188" t="s">
        <v>50</v>
      </c>
      <c r="E41" s="188" t="s">
        <v>50</v>
      </c>
      <c r="F41" s="188" t="s">
        <v>50</v>
      </c>
      <c r="G41" s="188" t="s">
        <v>50</v>
      </c>
      <c r="H41" s="188" t="s">
        <v>50</v>
      </c>
      <c r="I41" s="188" t="s">
        <v>50</v>
      </c>
      <c r="J41" s="188" t="s">
        <v>50</v>
      </c>
      <c r="K41" s="215" t="s">
        <v>50</v>
      </c>
    </row>
    <row r="42" spans="1:12">
      <c r="A42" s="592"/>
      <c r="B42" s="154" t="s">
        <v>71</v>
      </c>
      <c r="C42" s="182"/>
      <c r="D42" s="188" t="s">
        <v>50</v>
      </c>
      <c r="E42" s="188" t="s">
        <v>50</v>
      </c>
      <c r="F42" s="188" t="s">
        <v>50</v>
      </c>
      <c r="G42" s="188" t="s">
        <v>50</v>
      </c>
      <c r="H42" s="188" t="s">
        <v>50</v>
      </c>
      <c r="I42" s="373" t="s">
        <v>50</v>
      </c>
      <c r="J42" s="373" t="s">
        <v>50</v>
      </c>
      <c r="K42" s="374" t="s">
        <v>50</v>
      </c>
    </row>
    <row r="43" spans="1:12" ht="13.5" customHeight="1" thickBot="1">
      <c r="A43" s="608"/>
      <c r="B43" s="156" t="s">
        <v>72</v>
      </c>
      <c r="C43" s="184"/>
      <c r="D43" s="213" t="s">
        <v>50</v>
      </c>
      <c r="E43" s="213" t="s">
        <v>50</v>
      </c>
      <c r="F43" s="213" t="s">
        <v>50</v>
      </c>
      <c r="G43" s="213" t="s">
        <v>50</v>
      </c>
      <c r="H43" s="213" t="s">
        <v>50</v>
      </c>
      <c r="I43" s="311" t="s">
        <v>50</v>
      </c>
      <c r="J43" s="311" t="s">
        <v>50</v>
      </c>
      <c r="K43" s="312" t="s">
        <v>50</v>
      </c>
    </row>
    <row r="44" spans="1:12" s="726" customFormat="1" ht="12" customHeight="1">
      <c r="A44" s="728" t="str">
        <f>Titles!$A$12</f>
        <v>1 Data for 2023, 2024 and 2025 based on 2021 Census Definitions.</v>
      </c>
      <c r="B44" s="729"/>
      <c r="C44" s="729"/>
      <c r="D44" s="729"/>
      <c r="E44" s="730"/>
      <c r="G44" s="729"/>
      <c r="H44" s="731"/>
      <c r="I44" s="729"/>
      <c r="J44" s="729"/>
      <c r="K44" s="732"/>
      <c r="L44" s="725"/>
    </row>
    <row r="45" spans="1:12" s="726" customFormat="1" ht="15" customHeight="1">
      <c r="A45" s="698" t="s">
        <v>117</v>
      </c>
      <c r="B45" s="729"/>
      <c r="C45" s="733"/>
      <c r="D45" s="734"/>
      <c r="E45" s="702"/>
      <c r="F45" s="734"/>
      <c r="G45" s="734"/>
      <c r="H45" s="735"/>
      <c r="I45" s="725"/>
    </row>
    <row r="46" spans="1:12" s="727" customFormat="1" ht="13.5" customHeight="1">
      <c r="A46" s="709" t="str">
        <f>Titles!$A$10</f>
        <v>Source: CMHC Starts and Completion Survey, Market Absorption Survey</v>
      </c>
      <c r="B46" s="736"/>
      <c r="C46" s="736"/>
      <c r="D46" s="736"/>
      <c r="E46" s="710"/>
      <c r="F46" s="737"/>
      <c r="G46" s="737"/>
      <c r="H46" s="737"/>
    </row>
    <row r="47" spans="1:12" s="697" customFormat="1" ht="10.9" customHeight="1">
      <c r="A47" s="709"/>
      <c r="B47" s="706"/>
      <c r="C47" s="706"/>
      <c r="D47" s="706"/>
      <c r="E47" s="710"/>
      <c r="F47" s="706"/>
      <c r="G47" s="706"/>
      <c r="H47" s="706"/>
    </row>
    <row r="48" spans="1:12" ht="12" customHeight="1">
      <c r="A48" s="711"/>
      <c r="B48" s="712"/>
      <c r="C48" s="712"/>
      <c r="D48" s="712"/>
      <c r="E48" s="713"/>
      <c r="G48" s="713"/>
      <c r="H48" s="712"/>
      <c r="I48" s="715"/>
    </row>
    <row r="49" spans="1:9" ht="9.75" customHeight="1">
      <c r="I49" s="715"/>
    </row>
    <row r="61" spans="1:9">
      <c r="A61" s="698"/>
      <c r="B61" s="716"/>
      <c r="C61" s="700"/>
      <c r="D61" s="700"/>
      <c r="E61" s="703"/>
      <c r="F61" s="703"/>
      <c r="G61" s="702"/>
    </row>
    <row r="62" spans="1:9" ht="15.5">
      <c r="A62" s="698"/>
      <c r="B62" s="717"/>
      <c r="C62" s="717"/>
      <c r="D62" s="717"/>
      <c r="E62" s="717"/>
      <c r="F62" s="717"/>
      <c r="G62" s="702"/>
    </row>
  </sheetData>
  <pageMargins left="0.7" right="0.7" top="0.75" bottom="0.75" header="0.3" footer="0.3"/>
  <pageSetup scale="95"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60"/>
  <sheetViews>
    <sheetView showGridLines="0" showZeros="0" zoomScale="115" zoomScaleNormal="115" workbookViewId="0">
      <pane xSplit="3" ySplit="5" topLeftCell="D6" activePane="bottomRight" state="frozen"/>
      <selection pane="topRight"/>
      <selection pane="bottomLeft"/>
      <selection pane="bottomRight"/>
    </sheetView>
  </sheetViews>
  <sheetFormatPr defaultColWidth="11.53515625" defaultRowHeight="11.5"/>
  <cols>
    <col min="1" max="1" width="14.765625" style="12" customWidth="1"/>
    <col min="2" max="3" width="10.765625" style="12" customWidth="1"/>
    <col min="4" max="6" width="12.765625" style="12" customWidth="1"/>
    <col min="7" max="16384" width="11.53515625" style="12"/>
  </cols>
  <sheetData>
    <row r="1" spans="1:7" s="10" customFormat="1" ht="16.149999999999999" customHeight="1">
      <c r="A1" s="415" t="s">
        <v>133</v>
      </c>
      <c r="B1" s="416"/>
      <c r="C1" s="416"/>
      <c r="D1" s="416"/>
      <c r="E1" s="416"/>
      <c r="F1" s="417"/>
      <c r="G1" s="11"/>
    </row>
    <row r="2" spans="1:7" s="10" customFormat="1" ht="16.149999999999999" customHeight="1">
      <c r="A2" s="418" t="s">
        <v>143</v>
      </c>
      <c r="B2" s="419"/>
      <c r="C2" s="419"/>
      <c r="D2" s="419"/>
      <c r="E2" s="419"/>
      <c r="F2" s="420"/>
      <c r="G2" s="11"/>
    </row>
    <row r="3" spans="1:7" s="10" customFormat="1" ht="16.149999999999999" customHeight="1" thickBot="1">
      <c r="A3" s="424"/>
      <c r="B3" s="456"/>
      <c r="C3" s="456"/>
      <c r="D3" s="456"/>
      <c r="E3" s="456"/>
      <c r="F3" s="457"/>
      <c r="G3" s="11"/>
    </row>
    <row r="4" spans="1:7">
      <c r="A4" s="117"/>
      <c r="B4" s="92"/>
      <c r="C4" s="118"/>
      <c r="D4" s="120"/>
      <c r="E4" s="120"/>
      <c r="F4" s="121"/>
      <c r="G4" s="77"/>
    </row>
    <row r="5" spans="1:7">
      <c r="A5" s="144" t="s">
        <v>93</v>
      </c>
      <c r="B5" s="139"/>
      <c r="C5" s="145"/>
      <c r="D5" s="146" t="s">
        <v>25</v>
      </c>
      <c r="E5" s="146" t="s">
        <v>38</v>
      </c>
      <c r="F5" s="147" t="s">
        <v>40</v>
      </c>
      <c r="G5" s="77"/>
    </row>
    <row r="6" spans="1:7">
      <c r="A6" s="626">
        <f>Titles!A23</f>
        <v>2026</v>
      </c>
      <c r="B6" s="89"/>
      <c r="C6" s="100"/>
      <c r="D6" s="309"/>
      <c r="E6" s="309"/>
      <c r="F6" s="313"/>
      <c r="G6" s="77"/>
    </row>
    <row r="7" spans="1:7">
      <c r="A7" s="129" t="s">
        <v>75</v>
      </c>
      <c r="B7" s="133" t="s">
        <v>61</v>
      </c>
      <c r="C7" s="165"/>
      <c r="D7" s="188">
        <v>1347</v>
      </c>
      <c r="E7" s="188">
        <v>2462</v>
      </c>
      <c r="F7" s="215">
        <v>2406</v>
      </c>
      <c r="G7" s="77"/>
    </row>
    <row r="8" spans="1:7">
      <c r="A8" s="189"/>
      <c r="B8" s="111" t="s">
        <v>62</v>
      </c>
      <c r="C8" s="164"/>
      <c r="D8" s="188">
        <v>1273</v>
      </c>
      <c r="E8" s="188">
        <v>2194</v>
      </c>
      <c r="F8" s="215">
        <v>2177</v>
      </c>
      <c r="G8" s="77"/>
    </row>
    <row r="9" spans="1:7">
      <c r="A9" s="190"/>
      <c r="B9" s="154" t="s">
        <v>63</v>
      </c>
      <c r="C9" s="182"/>
      <c r="D9" s="188" t="s">
        <v>50</v>
      </c>
      <c r="E9" s="188" t="s">
        <v>50</v>
      </c>
      <c r="F9" s="215" t="s">
        <v>50</v>
      </c>
      <c r="G9" s="77"/>
    </row>
    <row r="10" spans="1:7">
      <c r="A10" s="191"/>
      <c r="B10" s="111" t="s">
        <v>64</v>
      </c>
      <c r="C10" s="164"/>
      <c r="D10" s="188" t="s">
        <v>50</v>
      </c>
      <c r="E10" s="188" t="s">
        <v>50</v>
      </c>
      <c r="F10" s="215" t="s">
        <v>50</v>
      </c>
      <c r="G10" s="77"/>
    </row>
    <row r="11" spans="1:7">
      <c r="A11" s="110"/>
      <c r="B11" s="111" t="s">
        <v>65</v>
      </c>
      <c r="C11" s="164"/>
      <c r="D11" s="188" t="s">
        <v>50</v>
      </c>
      <c r="E11" s="188" t="s">
        <v>50</v>
      </c>
      <c r="F11" s="215" t="s">
        <v>50</v>
      </c>
      <c r="G11" s="77"/>
    </row>
    <row r="12" spans="1:7">
      <c r="A12" s="190"/>
      <c r="B12" s="154" t="s">
        <v>66</v>
      </c>
      <c r="C12" s="182"/>
      <c r="D12" s="188" t="s">
        <v>50</v>
      </c>
      <c r="E12" s="188" t="s">
        <v>50</v>
      </c>
      <c r="F12" s="215" t="s">
        <v>50</v>
      </c>
      <c r="G12" s="77"/>
    </row>
    <row r="13" spans="1:7">
      <c r="A13" s="153"/>
      <c r="B13" s="111" t="s">
        <v>67</v>
      </c>
      <c r="C13" s="164"/>
      <c r="D13" s="188" t="s">
        <v>50</v>
      </c>
      <c r="E13" s="188" t="s">
        <v>50</v>
      </c>
      <c r="F13" s="215" t="s">
        <v>50</v>
      </c>
      <c r="G13" s="77"/>
    </row>
    <row r="14" spans="1:7">
      <c r="A14" s="110"/>
      <c r="B14" s="111" t="s">
        <v>68</v>
      </c>
      <c r="C14" s="164"/>
      <c r="D14" s="188" t="s">
        <v>50</v>
      </c>
      <c r="E14" s="188" t="s">
        <v>50</v>
      </c>
      <c r="F14" s="215" t="s">
        <v>50</v>
      </c>
      <c r="G14" s="77"/>
    </row>
    <row r="15" spans="1:7">
      <c r="A15" s="110"/>
      <c r="B15" s="154" t="s">
        <v>69</v>
      </c>
      <c r="C15" s="182"/>
      <c r="D15" s="188" t="s">
        <v>50</v>
      </c>
      <c r="E15" s="188" t="s">
        <v>50</v>
      </c>
      <c r="F15" s="215" t="s">
        <v>50</v>
      </c>
      <c r="G15" s="77"/>
    </row>
    <row r="16" spans="1:7">
      <c r="A16" s="110"/>
      <c r="B16" s="154" t="s">
        <v>70</v>
      </c>
      <c r="C16" s="182"/>
      <c r="D16" s="188" t="s">
        <v>50</v>
      </c>
      <c r="E16" s="188" t="s">
        <v>50</v>
      </c>
      <c r="F16" s="215" t="s">
        <v>50</v>
      </c>
      <c r="G16" s="77"/>
    </row>
    <row r="17" spans="1:7">
      <c r="A17" s="110"/>
      <c r="B17" s="154" t="s">
        <v>71</v>
      </c>
      <c r="C17" s="182"/>
      <c r="D17" s="188" t="s">
        <v>50</v>
      </c>
      <c r="E17" s="188" t="s">
        <v>50</v>
      </c>
      <c r="F17" s="215" t="s">
        <v>50</v>
      </c>
      <c r="G17" s="77"/>
    </row>
    <row r="18" spans="1:7">
      <c r="A18" s="186"/>
      <c r="B18" s="142" t="s">
        <v>72</v>
      </c>
      <c r="C18" s="183"/>
      <c r="D18" s="277" t="s">
        <v>50</v>
      </c>
      <c r="E18" s="277" t="s">
        <v>50</v>
      </c>
      <c r="F18" s="215" t="s">
        <v>50</v>
      </c>
      <c r="G18" s="77"/>
    </row>
    <row r="19" spans="1:7">
      <c r="A19" s="129" t="s">
        <v>47</v>
      </c>
      <c r="B19" s="133" t="s">
        <v>61</v>
      </c>
      <c r="C19" s="165"/>
      <c r="D19" s="276">
        <v>16232</v>
      </c>
      <c r="E19" s="276">
        <v>25920</v>
      </c>
      <c r="F19" s="214">
        <v>31236</v>
      </c>
      <c r="G19" s="77"/>
    </row>
    <row r="20" spans="1:7">
      <c r="A20" s="189"/>
      <c r="B20" s="111" t="s">
        <v>62</v>
      </c>
      <c r="C20" s="164"/>
      <c r="D20" s="188">
        <v>11725</v>
      </c>
      <c r="E20" s="188">
        <v>11544</v>
      </c>
      <c r="F20" s="215">
        <v>25248</v>
      </c>
      <c r="G20" s="77"/>
    </row>
    <row r="21" spans="1:7">
      <c r="A21" s="190"/>
      <c r="B21" s="154" t="s">
        <v>63</v>
      </c>
      <c r="C21" s="182"/>
      <c r="D21" s="188" t="s">
        <v>50</v>
      </c>
      <c r="E21" s="188" t="s">
        <v>50</v>
      </c>
      <c r="F21" s="215" t="s">
        <v>50</v>
      </c>
      <c r="G21" s="77"/>
    </row>
    <row r="22" spans="1:7">
      <c r="A22" s="191"/>
      <c r="B22" s="111" t="s">
        <v>64</v>
      </c>
      <c r="C22" s="164"/>
      <c r="D22" s="188" t="s">
        <v>50</v>
      </c>
      <c r="E22" s="188" t="s">
        <v>50</v>
      </c>
      <c r="F22" s="215" t="s">
        <v>50</v>
      </c>
      <c r="G22" s="77"/>
    </row>
    <row r="23" spans="1:7">
      <c r="A23" s="110"/>
      <c r="B23" s="111" t="s">
        <v>65</v>
      </c>
      <c r="C23" s="164"/>
      <c r="D23" s="188" t="s">
        <v>50</v>
      </c>
      <c r="E23" s="188" t="s">
        <v>50</v>
      </c>
      <c r="F23" s="215" t="s">
        <v>50</v>
      </c>
      <c r="G23" s="77"/>
    </row>
    <row r="24" spans="1:7">
      <c r="A24" s="190"/>
      <c r="B24" s="154" t="s">
        <v>66</v>
      </c>
      <c r="C24" s="182"/>
      <c r="D24" s="188" t="s">
        <v>50</v>
      </c>
      <c r="E24" s="188" t="s">
        <v>50</v>
      </c>
      <c r="F24" s="215" t="s">
        <v>50</v>
      </c>
      <c r="G24" s="77"/>
    </row>
    <row r="25" spans="1:7">
      <c r="A25" s="153"/>
      <c r="B25" s="111" t="s">
        <v>67</v>
      </c>
      <c r="C25" s="164"/>
      <c r="D25" s="188" t="s">
        <v>50</v>
      </c>
      <c r="E25" s="188" t="s">
        <v>50</v>
      </c>
      <c r="F25" s="215" t="s">
        <v>50</v>
      </c>
      <c r="G25" s="77"/>
    </row>
    <row r="26" spans="1:7">
      <c r="A26" s="110"/>
      <c r="B26" s="111" t="s">
        <v>68</v>
      </c>
      <c r="C26" s="164"/>
      <c r="D26" s="188" t="s">
        <v>50</v>
      </c>
      <c r="E26" s="188" t="s">
        <v>50</v>
      </c>
      <c r="F26" s="215" t="s">
        <v>50</v>
      </c>
      <c r="G26" s="77"/>
    </row>
    <row r="27" spans="1:7">
      <c r="A27" s="110"/>
      <c r="B27" s="154" t="s">
        <v>69</v>
      </c>
      <c r="C27" s="182"/>
      <c r="D27" s="188" t="s">
        <v>50</v>
      </c>
      <c r="E27" s="188" t="s">
        <v>50</v>
      </c>
      <c r="F27" s="215" t="s">
        <v>50</v>
      </c>
      <c r="G27" s="77"/>
    </row>
    <row r="28" spans="1:7">
      <c r="A28" s="110"/>
      <c r="B28" s="154" t="s">
        <v>70</v>
      </c>
      <c r="C28" s="182"/>
      <c r="D28" s="188" t="s">
        <v>50</v>
      </c>
      <c r="E28" s="188" t="s">
        <v>50</v>
      </c>
      <c r="F28" s="215" t="s">
        <v>50</v>
      </c>
      <c r="G28" s="77"/>
    </row>
    <row r="29" spans="1:7">
      <c r="A29" s="110"/>
      <c r="B29" s="154" t="s">
        <v>71</v>
      </c>
      <c r="C29" s="182"/>
      <c r="D29" s="188" t="s">
        <v>50</v>
      </c>
      <c r="E29" s="188" t="s">
        <v>50</v>
      </c>
      <c r="F29" s="215" t="s">
        <v>50</v>
      </c>
      <c r="G29" s="77"/>
    </row>
    <row r="30" spans="1:7">
      <c r="A30" s="186"/>
      <c r="B30" s="142" t="s">
        <v>72</v>
      </c>
      <c r="C30" s="183"/>
      <c r="D30" s="277" t="s">
        <v>50</v>
      </c>
      <c r="E30" s="277" t="s">
        <v>50</v>
      </c>
      <c r="F30" s="310" t="s">
        <v>50</v>
      </c>
      <c r="G30" s="77"/>
    </row>
    <row r="31" spans="1:7">
      <c r="A31" s="129" t="s">
        <v>44</v>
      </c>
      <c r="B31" s="133" t="s">
        <v>61</v>
      </c>
      <c r="C31" s="165"/>
      <c r="D31" s="276">
        <v>17579</v>
      </c>
      <c r="E31" s="276">
        <v>28382</v>
      </c>
      <c r="F31" s="214">
        <v>33642</v>
      </c>
      <c r="G31" s="77"/>
    </row>
    <row r="32" spans="1:7">
      <c r="A32" s="189"/>
      <c r="B32" s="111" t="s">
        <v>62</v>
      </c>
      <c r="C32" s="164"/>
      <c r="D32" s="188">
        <v>12998</v>
      </c>
      <c r="E32" s="188">
        <v>13738</v>
      </c>
      <c r="F32" s="215">
        <v>27425</v>
      </c>
      <c r="G32" s="77"/>
    </row>
    <row r="33" spans="1:8">
      <c r="A33" s="190"/>
      <c r="B33" s="154" t="s">
        <v>63</v>
      </c>
      <c r="C33" s="182"/>
      <c r="D33" s="188" t="s">
        <v>50</v>
      </c>
      <c r="E33" s="188" t="s">
        <v>50</v>
      </c>
      <c r="F33" s="215" t="s">
        <v>50</v>
      </c>
      <c r="G33" s="77"/>
    </row>
    <row r="34" spans="1:8">
      <c r="A34" s="191"/>
      <c r="B34" s="111" t="s">
        <v>64</v>
      </c>
      <c r="C34" s="164"/>
      <c r="D34" s="188" t="s">
        <v>50</v>
      </c>
      <c r="E34" s="188" t="s">
        <v>50</v>
      </c>
      <c r="F34" s="215" t="s">
        <v>50</v>
      </c>
      <c r="G34" s="77"/>
    </row>
    <row r="35" spans="1:8">
      <c r="A35" s="110"/>
      <c r="B35" s="111" t="s">
        <v>65</v>
      </c>
      <c r="C35" s="164"/>
      <c r="D35" s="188" t="s">
        <v>50</v>
      </c>
      <c r="E35" s="188" t="s">
        <v>50</v>
      </c>
      <c r="F35" s="215" t="s">
        <v>50</v>
      </c>
      <c r="G35" s="77"/>
    </row>
    <row r="36" spans="1:8">
      <c r="A36" s="190"/>
      <c r="B36" s="154" t="s">
        <v>66</v>
      </c>
      <c r="C36" s="182"/>
      <c r="D36" s="188" t="s">
        <v>50</v>
      </c>
      <c r="E36" s="188" t="s">
        <v>50</v>
      </c>
      <c r="F36" s="215" t="s">
        <v>50</v>
      </c>
      <c r="G36" s="77"/>
    </row>
    <row r="37" spans="1:8">
      <c r="A37" s="153"/>
      <c r="B37" s="111" t="s">
        <v>67</v>
      </c>
      <c r="C37" s="164"/>
      <c r="D37" s="188" t="s">
        <v>50</v>
      </c>
      <c r="E37" s="188" t="s">
        <v>50</v>
      </c>
      <c r="F37" s="215" t="s">
        <v>50</v>
      </c>
      <c r="G37" s="77"/>
    </row>
    <row r="38" spans="1:8">
      <c r="A38" s="110"/>
      <c r="B38" s="111" t="s">
        <v>68</v>
      </c>
      <c r="C38" s="164"/>
      <c r="D38" s="188" t="s">
        <v>50</v>
      </c>
      <c r="E38" s="188" t="s">
        <v>50</v>
      </c>
      <c r="F38" s="215" t="s">
        <v>50</v>
      </c>
      <c r="G38" s="77"/>
    </row>
    <row r="39" spans="1:8">
      <c r="A39" s="110"/>
      <c r="B39" s="154" t="s">
        <v>69</v>
      </c>
      <c r="C39" s="182"/>
      <c r="D39" s="188" t="s">
        <v>50</v>
      </c>
      <c r="E39" s="188" t="s">
        <v>50</v>
      </c>
      <c r="F39" s="215" t="s">
        <v>50</v>
      </c>
      <c r="G39" s="77"/>
    </row>
    <row r="40" spans="1:8">
      <c r="A40" s="110"/>
      <c r="B40" s="154" t="s">
        <v>70</v>
      </c>
      <c r="C40" s="182"/>
      <c r="D40" s="188" t="s">
        <v>50</v>
      </c>
      <c r="E40" s="188" t="s">
        <v>50</v>
      </c>
      <c r="F40" s="215" t="s">
        <v>50</v>
      </c>
      <c r="G40" s="77"/>
    </row>
    <row r="41" spans="1:8">
      <c r="A41" s="110"/>
      <c r="B41" s="154" t="s">
        <v>71</v>
      </c>
      <c r="C41" s="182"/>
      <c r="D41" s="188" t="s">
        <v>50</v>
      </c>
      <c r="E41" s="188" t="s">
        <v>50</v>
      </c>
      <c r="F41" s="215" t="s">
        <v>50</v>
      </c>
      <c r="G41" s="77"/>
    </row>
    <row r="42" spans="1:8" ht="12" thickBot="1">
      <c r="A42" s="185"/>
      <c r="B42" s="156" t="s">
        <v>72</v>
      </c>
      <c r="C42" s="184"/>
      <c r="D42" s="311" t="s">
        <v>50</v>
      </c>
      <c r="E42" s="311" t="s">
        <v>50</v>
      </c>
      <c r="F42" s="312" t="s">
        <v>50</v>
      </c>
      <c r="G42" s="77"/>
    </row>
    <row r="43" spans="1:8" ht="12" customHeight="1">
      <c r="A43" s="53" t="str">
        <f>Titles!$A$14</f>
        <v>1 2024 and 2025 data based on 2021 Census Definitions.</v>
      </c>
      <c r="B43" s="89"/>
      <c r="C43" s="89"/>
      <c r="D43" s="54"/>
      <c r="F43" s="298"/>
      <c r="G43" s="193"/>
      <c r="H43" s="89"/>
    </row>
    <row r="44" spans="1:8" ht="12" customHeight="1">
      <c r="A44" s="91" t="str">
        <f>Titles!$A$10</f>
        <v>Source: CMHC Starts and Completion Survey, Market Absorption Survey</v>
      </c>
      <c r="B44" s="90"/>
      <c r="C44" s="90"/>
      <c r="D44" s="167"/>
      <c r="E44" s="90"/>
      <c r="F44" s="90"/>
    </row>
    <row r="45" spans="1:8">
      <c r="D45" s="187"/>
    </row>
    <row r="59" spans="1:6">
      <c r="A59" s="53"/>
      <c r="B59" s="82"/>
      <c r="C59" s="356"/>
      <c r="D59" s="357"/>
      <c r="E59" s="357"/>
      <c r="F59" s="54"/>
    </row>
    <row r="60" spans="1:6" ht="15.5">
      <c r="A60" s="53"/>
      <c r="B60" s="168"/>
      <c r="C60" s="168"/>
      <c r="D60" s="168"/>
      <c r="E60" s="168"/>
      <c r="F60" s="54"/>
    </row>
  </sheetData>
  <phoneticPr fontId="11" type="noConversion"/>
  <pageMargins left="0.78740157480314965" right="0.51181102362204722" top="0.51181102362204722" bottom="0.51181102362204722" header="0.51181102362204722" footer="0.51181102362204722"/>
  <pageSetup orientation="portrait" r:id="rId1"/>
  <headerFooter alignWithMargins="0">
    <oddHeader>&amp;C&amp;"Calibri"&amp;10&amp;K000000 Protected External-Protégé Externe&amp;1#_x000D_</oddHeader>
    <oddFooter>&amp;C_x000D_&amp;1#&amp;"Calibri"&amp;10&amp;K000000 Protected External-Protégé Externe</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48"/>
  <sheetViews>
    <sheetView showGridLines="0" showZeros="0" zoomScaleNormal="100" workbookViewId="0">
      <pane xSplit="3" ySplit="10" topLeftCell="D11" activePane="bottomRight" state="frozen"/>
      <selection pane="topRight"/>
      <selection pane="bottomLeft"/>
      <selection pane="bottomRight"/>
    </sheetView>
  </sheetViews>
  <sheetFormatPr defaultColWidth="11.53515625" defaultRowHeight="11.5"/>
  <cols>
    <col min="1" max="1" width="4.765625" style="582" customWidth="1"/>
    <col min="2" max="3" width="7.23046875" style="12" customWidth="1"/>
    <col min="4" max="5" width="9.765625" style="12" customWidth="1"/>
    <col min="6" max="6" width="8.765625" style="12" customWidth="1"/>
    <col min="7" max="8" width="9.765625" style="12" customWidth="1"/>
    <col min="9" max="9" width="8.765625" style="12" customWidth="1"/>
    <col min="10" max="16384" width="11.53515625" style="12"/>
  </cols>
  <sheetData>
    <row r="1" spans="1:10" s="10" customFormat="1" ht="16.5" customHeight="1">
      <c r="A1" s="617" t="s">
        <v>134</v>
      </c>
      <c r="B1" s="431"/>
      <c r="C1" s="431"/>
      <c r="D1" s="431"/>
      <c r="E1" s="431"/>
      <c r="F1" s="431"/>
      <c r="G1" s="431"/>
      <c r="H1" s="431"/>
      <c r="I1" s="432"/>
      <c r="J1" s="11"/>
    </row>
    <row r="2" spans="1:10" s="10" customFormat="1" ht="16.5" customHeight="1">
      <c r="A2" s="618" t="s">
        <v>109</v>
      </c>
      <c r="B2" s="433"/>
      <c r="C2" s="433"/>
      <c r="D2" s="433"/>
      <c r="E2" s="433"/>
      <c r="F2" s="433"/>
      <c r="G2" s="433"/>
      <c r="H2" s="433"/>
      <c r="I2" s="434"/>
      <c r="J2" s="11"/>
    </row>
    <row r="3" spans="1:10" s="10" customFormat="1" ht="17.5">
      <c r="A3" s="618" t="s">
        <v>257</v>
      </c>
      <c r="B3" s="435"/>
      <c r="C3" s="435"/>
      <c r="D3" s="435"/>
      <c r="E3" s="435"/>
      <c r="F3" s="435"/>
      <c r="G3" s="435"/>
      <c r="H3" s="435"/>
      <c r="I3" s="436"/>
      <c r="J3" s="11"/>
    </row>
    <row r="4" spans="1:10" s="10" customFormat="1" ht="16" thickBot="1">
      <c r="A4" s="619"/>
      <c r="B4" s="464"/>
      <c r="C4" s="464"/>
      <c r="D4" s="464"/>
      <c r="E4" s="464"/>
      <c r="F4" s="464"/>
      <c r="G4" s="464"/>
      <c r="H4" s="464"/>
      <c r="I4" s="465"/>
      <c r="J4" s="11"/>
    </row>
    <row r="5" spans="1:10">
      <c r="A5" s="607"/>
      <c r="B5" s="89"/>
      <c r="C5" s="118"/>
      <c r="D5" s="470" t="s">
        <v>91</v>
      </c>
      <c r="E5" s="390"/>
      <c r="F5" s="391"/>
      <c r="G5" s="471" t="s">
        <v>84</v>
      </c>
      <c r="H5" s="392"/>
      <c r="I5" s="393"/>
      <c r="J5" s="77"/>
    </row>
    <row r="6" spans="1:10" ht="12" customHeight="1">
      <c r="A6" s="607"/>
      <c r="B6" s="89"/>
      <c r="C6" s="100"/>
      <c r="D6" s="472"/>
      <c r="E6" s="471"/>
      <c r="F6" s="473"/>
      <c r="G6" s="474"/>
      <c r="H6" s="475"/>
      <c r="I6" s="476"/>
      <c r="J6" s="77"/>
    </row>
    <row r="7" spans="1:10" ht="12" customHeight="1">
      <c r="A7" s="607"/>
      <c r="B7" s="89"/>
      <c r="C7" s="100"/>
      <c r="D7" s="477"/>
      <c r="E7" s="478"/>
      <c r="F7" s="336"/>
      <c r="G7" s="477"/>
      <c r="H7" s="478"/>
      <c r="I7" s="479"/>
      <c r="J7" s="77"/>
    </row>
    <row r="8" spans="1:10" ht="12" customHeight="1">
      <c r="A8" s="615" t="s">
        <v>93</v>
      </c>
      <c r="B8" s="89"/>
      <c r="C8" s="100"/>
      <c r="D8" s="322" t="s">
        <v>112</v>
      </c>
      <c r="E8" s="321" t="s">
        <v>85</v>
      </c>
      <c r="F8" s="322" t="s">
        <v>88</v>
      </c>
      <c r="G8" s="322" t="s">
        <v>86</v>
      </c>
      <c r="H8" s="321" t="s">
        <v>85</v>
      </c>
      <c r="I8" s="323" t="s">
        <v>88</v>
      </c>
      <c r="J8" s="77"/>
    </row>
    <row r="9" spans="1:10" ht="12" customHeight="1">
      <c r="A9" s="605"/>
      <c r="B9" s="89"/>
      <c r="C9" s="100"/>
      <c r="D9" s="322" t="s">
        <v>113</v>
      </c>
      <c r="E9" s="322" t="s">
        <v>87</v>
      </c>
      <c r="F9" s="322" t="s">
        <v>110</v>
      </c>
      <c r="G9" s="322" t="s">
        <v>89</v>
      </c>
      <c r="H9" s="322" t="s">
        <v>87</v>
      </c>
      <c r="I9" s="323" t="s">
        <v>110</v>
      </c>
      <c r="J9" s="77"/>
    </row>
    <row r="10" spans="1:10" ht="12.75" customHeight="1">
      <c r="A10" s="605"/>
      <c r="B10" s="89"/>
      <c r="C10" s="100"/>
      <c r="E10" s="322" t="s">
        <v>90</v>
      </c>
      <c r="F10" s="100"/>
      <c r="H10" s="322" t="s">
        <v>90</v>
      </c>
      <c r="I10" s="381"/>
      <c r="J10" s="77"/>
    </row>
    <row r="11" spans="1:10" ht="12" customHeight="1">
      <c r="A11" s="620">
        <f>Titles!A22</f>
        <v>2025</v>
      </c>
      <c r="B11" s="324" t="s">
        <v>57</v>
      </c>
      <c r="C11" s="325"/>
      <c r="D11" s="340">
        <v>73</v>
      </c>
      <c r="E11" s="339">
        <v>6268</v>
      </c>
      <c r="F11" s="340">
        <v>33535</v>
      </c>
      <c r="G11" s="340">
        <v>91</v>
      </c>
      <c r="H11" s="340">
        <v>8098</v>
      </c>
      <c r="I11" s="341">
        <v>161395</v>
      </c>
      <c r="J11" s="77"/>
    </row>
    <row r="12" spans="1:10" ht="12" customHeight="1">
      <c r="A12" s="616"/>
      <c r="B12" s="326" t="s">
        <v>58</v>
      </c>
      <c r="C12" s="327"/>
      <c r="D12" s="339">
        <v>70</v>
      </c>
      <c r="E12" s="339">
        <v>6081</v>
      </c>
      <c r="F12" s="339">
        <v>34549</v>
      </c>
      <c r="G12" s="339">
        <v>85</v>
      </c>
      <c r="H12" s="340">
        <v>8664</v>
      </c>
      <c r="I12" s="341">
        <v>156156</v>
      </c>
      <c r="J12" s="77"/>
    </row>
    <row r="13" spans="1:10" ht="12" customHeight="1">
      <c r="A13" s="616"/>
      <c r="B13" s="328" t="s">
        <v>59</v>
      </c>
      <c r="C13" s="327"/>
      <c r="D13" s="340">
        <v>70</v>
      </c>
      <c r="E13" s="340">
        <v>6774</v>
      </c>
      <c r="F13" s="340">
        <v>37130</v>
      </c>
      <c r="G13" s="340">
        <v>82</v>
      </c>
      <c r="H13" s="340">
        <v>9341</v>
      </c>
      <c r="I13" s="341">
        <v>154495</v>
      </c>
      <c r="J13" s="77"/>
    </row>
    <row r="14" spans="1:10" ht="12" customHeight="1">
      <c r="A14" s="621"/>
      <c r="B14" s="329" t="s">
        <v>60</v>
      </c>
      <c r="C14" s="330"/>
      <c r="D14" s="342">
        <v>66</v>
      </c>
      <c r="E14" s="343">
        <v>7337</v>
      </c>
      <c r="F14" s="343">
        <v>33431</v>
      </c>
      <c r="G14" s="342">
        <v>74</v>
      </c>
      <c r="H14" s="343">
        <v>11661</v>
      </c>
      <c r="I14" s="344">
        <v>148230</v>
      </c>
      <c r="J14" s="77"/>
    </row>
    <row r="15" spans="1:10" ht="12" customHeight="1">
      <c r="A15" s="620">
        <f>Titles!A23</f>
        <v>2026</v>
      </c>
      <c r="B15" s="324" t="s">
        <v>57</v>
      </c>
      <c r="C15" s="325"/>
      <c r="D15" s="340"/>
      <c r="E15" s="339"/>
      <c r="F15" s="340"/>
      <c r="G15" s="340"/>
      <c r="H15" s="340"/>
      <c r="I15" s="341"/>
      <c r="J15" s="77"/>
    </row>
    <row r="16" spans="1:10" ht="12" customHeight="1">
      <c r="A16" s="616"/>
      <c r="B16" s="326" t="s">
        <v>58</v>
      </c>
      <c r="C16" s="327"/>
      <c r="D16" s="340"/>
      <c r="E16" s="339"/>
      <c r="F16" s="339"/>
      <c r="G16" s="339"/>
      <c r="H16" s="340"/>
      <c r="I16" s="341"/>
      <c r="J16" s="77"/>
    </row>
    <row r="17" spans="1:10" ht="12" customHeight="1">
      <c r="A17" s="616"/>
      <c r="B17" s="328" t="s">
        <v>59</v>
      </c>
      <c r="C17" s="327"/>
      <c r="D17" s="340"/>
      <c r="E17" s="340"/>
      <c r="F17" s="340"/>
      <c r="G17" s="340"/>
      <c r="H17" s="340"/>
      <c r="I17" s="341"/>
      <c r="J17" s="77"/>
    </row>
    <row r="18" spans="1:10" ht="12" customHeight="1" thickBot="1">
      <c r="A18" s="621"/>
      <c r="B18" s="329" t="s">
        <v>60</v>
      </c>
      <c r="C18" s="330"/>
      <c r="D18" s="347"/>
      <c r="E18" s="347"/>
      <c r="F18" s="347"/>
      <c r="G18" s="347"/>
      <c r="H18" s="347"/>
      <c r="I18" s="348"/>
      <c r="J18" s="77"/>
    </row>
    <row r="19" spans="1:10" ht="12" customHeight="1">
      <c r="A19" s="620">
        <f>Titles!A22</f>
        <v>2025</v>
      </c>
      <c r="B19" s="324" t="s">
        <v>61</v>
      </c>
      <c r="C19" s="331"/>
      <c r="D19" s="345">
        <v>76</v>
      </c>
      <c r="E19" s="340">
        <v>6063</v>
      </c>
      <c r="F19" s="345">
        <v>35349</v>
      </c>
      <c r="G19" s="345">
        <v>90</v>
      </c>
      <c r="H19" s="345">
        <v>7714</v>
      </c>
      <c r="I19" s="346">
        <v>167381</v>
      </c>
      <c r="J19" s="77"/>
    </row>
    <row r="20" spans="1:10" ht="12" customHeight="1">
      <c r="A20" s="616"/>
      <c r="B20" s="326" t="s">
        <v>62</v>
      </c>
      <c r="C20" s="332"/>
      <c r="D20" s="340">
        <v>72</v>
      </c>
      <c r="E20" s="340">
        <v>6135</v>
      </c>
      <c r="F20" s="340">
        <v>34377</v>
      </c>
      <c r="G20" s="340">
        <v>78</v>
      </c>
      <c r="H20" s="340">
        <v>7841</v>
      </c>
      <c r="I20" s="341">
        <v>166198</v>
      </c>
      <c r="J20" s="77"/>
    </row>
    <row r="21" spans="1:10" ht="12" customHeight="1">
      <c r="A21" s="616"/>
      <c r="B21" s="333" t="s">
        <v>63</v>
      </c>
      <c r="C21" s="334"/>
      <c r="D21" s="340">
        <v>73</v>
      </c>
      <c r="E21" s="339">
        <v>6268</v>
      </c>
      <c r="F21" s="340">
        <v>33535</v>
      </c>
      <c r="G21" s="340">
        <v>91</v>
      </c>
      <c r="H21" s="340">
        <v>8098</v>
      </c>
      <c r="I21" s="341">
        <v>161395</v>
      </c>
      <c r="J21" s="77"/>
    </row>
    <row r="22" spans="1:10" ht="12" customHeight="1">
      <c r="A22" s="622"/>
      <c r="B22" s="326" t="s">
        <v>64</v>
      </c>
      <c r="C22" s="332"/>
      <c r="D22" s="340">
        <v>70</v>
      </c>
      <c r="E22" s="339">
        <v>6148</v>
      </c>
      <c r="F22" s="340">
        <v>33921</v>
      </c>
      <c r="G22" s="340">
        <v>85</v>
      </c>
      <c r="H22" s="340">
        <v>8212</v>
      </c>
      <c r="I22" s="341">
        <v>162466</v>
      </c>
      <c r="J22" s="77"/>
    </row>
    <row r="23" spans="1:10" ht="12" customHeight="1">
      <c r="A23" s="616"/>
      <c r="B23" s="326" t="s">
        <v>65</v>
      </c>
      <c r="C23" s="332"/>
      <c r="D23" s="340">
        <v>70</v>
      </c>
      <c r="E23" s="339">
        <v>6099</v>
      </c>
      <c r="F23" s="340">
        <v>34204</v>
      </c>
      <c r="G23" s="340">
        <v>89</v>
      </c>
      <c r="H23" s="340">
        <v>8318</v>
      </c>
      <c r="I23" s="341">
        <v>159749</v>
      </c>
      <c r="J23" s="77"/>
    </row>
    <row r="24" spans="1:10" ht="12" customHeight="1">
      <c r="A24" s="616"/>
      <c r="B24" s="333" t="s">
        <v>66</v>
      </c>
      <c r="C24" s="334"/>
      <c r="D24" s="339">
        <v>70</v>
      </c>
      <c r="E24" s="339">
        <v>6081</v>
      </c>
      <c r="F24" s="339">
        <v>34549</v>
      </c>
      <c r="G24" s="339">
        <v>80</v>
      </c>
      <c r="H24" s="340">
        <v>8664</v>
      </c>
      <c r="I24" s="341">
        <v>156156</v>
      </c>
      <c r="J24" s="77"/>
    </row>
    <row r="25" spans="1:10" ht="12" customHeight="1">
      <c r="A25" s="616"/>
      <c r="B25" s="326" t="s">
        <v>67</v>
      </c>
      <c r="C25" s="332"/>
      <c r="D25" s="340">
        <v>70</v>
      </c>
      <c r="E25" s="340">
        <v>6144</v>
      </c>
      <c r="F25" s="340">
        <v>34710</v>
      </c>
      <c r="G25" s="340">
        <v>82</v>
      </c>
      <c r="H25" s="340">
        <v>8164</v>
      </c>
      <c r="I25" s="341">
        <v>156223</v>
      </c>
      <c r="J25" s="77"/>
    </row>
    <row r="26" spans="1:10" ht="12" customHeight="1">
      <c r="A26" s="616"/>
      <c r="B26" s="326" t="s">
        <v>68</v>
      </c>
      <c r="C26" s="332"/>
      <c r="D26" s="340">
        <v>71</v>
      </c>
      <c r="E26" s="340">
        <v>6171</v>
      </c>
      <c r="F26" s="340">
        <v>34743</v>
      </c>
      <c r="G26" s="340">
        <v>83</v>
      </c>
      <c r="H26" s="340">
        <v>8338</v>
      </c>
      <c r="I26" s="341">
        <v>154879</v>
      </c>
      <c r="J26" s="77"/>
    </row>
    <row r="27" spans="1:10" ht="12" customHeight="1">
      <c r="A27" s="616"/>
      <c r="B27" s="333" t="s">
        <v>69</v>
      </c>
      <c r="C27" s="334"/>
      <c r="D27" s="340">
        <v>68</v>
      </c>
      <c r="E27" s="340">
        <v>6774</v>
      </c>
      <c r="F27" s="340">
        <v>37130</v>
      </c>
      <c r="G27" s="340">
        <v>82</v>
      </c>
      <c r="H27" s="340">
        <v>9341</v>
      </c>
      <c r="I27" s="341">
        <v>154495</v>
      </c>
      <c r="J27" s="77"/>
    </row>
    <row r="28" spans="1:10" ht="12" customHeight="1">
      <c r="A28" s="616"/>
      <c r="B28" s="333" t="s">
        <v>70</v>
      </c>
      <c r="C28" s="334"/>
      <c r="D28" s="340">
        <v>67</v>
      </c>
      <c r="E28" s="340">
        <v>6622</v>
      </c>
      <c r="F28" s="340">
        <v>34919</v>
      </c>
      <c r="G28" s="340">
        <v>77</v>
      </c>
      <c r="H28" s="340">
        <v>10302</v>
      </c>
      <c r="I28" s="562">
        <v>148474</v>
      </c>
      <c r="J28" s="77"/>
    </row>
    <row r="29" spans="1:10" ht="12" customHeight="1">
      <c r="A29" s="616"/>
      <c r="B29" s="333" t="s">
        <v>71</v>
      </c>
      <c r="C29" s="334"/>
      <c r="D29" s="340">
        <v>67</v>
      </c>
      <c r="E29" s="340">
        <v>7061</v>
      </c>
      <c r="F29" s="340">
        <v>34208</v>
      </c>
      <c r="G29" s="340">
        <v>66</v>
      </c>
      <c r="H29" s="340">
        <v>11335</v>
      </c>
      <c r="I29" s="341">
        <v>147187</v>
      </c>
      <c r="J29" s="77"/>
    </row>
    <row r="30" spans="1:10" ht="12" customHeight="1" thickBot="1">
      <c r="A30" s="621"/>
      <c r="B30" s="335" t="s">
        <v>72</v>
      </c>
      <c r="C30" s="336"/>
      <c r="D30" s="347">
        <v>65</v>
      </c>
      <c r="E30" s="347">
        <v>7337</v>
      </c>
      <c r="F30" s="347">
        <v>33431</v>
      </c>
      <c r="G30" s="347">
        <v>78</v>
      </c>
      <c r="H30" s="347">
        <v>11661</v>
      </c>
      <c r="I30" s="348">
        <v>148230</v>
      </c>
      <c r="J30" s="77"/>
    </row>
    <row r="31" spans="1:10" ht="12" customHeight="1">
      <c r="A31" s="620">
        <f>Titles!A23</f>
        <v>2026</v>
      </c>
      <c r="B31" s="324" t="s">
        <v>61</v>
      </c>
      <c r="C31" s="331"/>
      <c r="D31" s="345">
        <v>65</v>
      </c>
      <c r="E31" s="340">
        <v>7353</v>
      </c>
      <c r="F31" s="345">
        <v>32836</v>
      </c>
      <c r="G31" s="345">
        <v>74</v>
      </c>
      <c r="H31" s="345">
        <v>10957</v>
      </c>
      <c r="I31" s="346">
        <v>148451</v>
      </c>
      <c r="J31" s="77"/>
    </row>
    <row r="32" spans="1:10" ht="12" customHeight="1">
      <c r="A32" s="616"/>
      <c r="B32" s="326" t="s">
        <v>62</v>
      </c>
      <c r="C32" s="332"/>
      <c r="D32" s="340">
        <v>63</v>
      </c>
      <c r="E32" s="340" t="s">
        <v>276</v>
      </c>
      <c r="F32" s="340" t="s">
        <v>277</v>
      </c>
      <c r="G32" s="340">
        <v>79</v>
      </c>
      <c r="H32" s="340" t="s">
        <v>278</v>
      </c>
      <c r="I32" s="341" t="s">
        <v>279</v>
      </c>
      <c r="J32" s="77"/>
    </row>
    <row r="33" spans="1:10" ht="12" customHeight="1">
      <c r="A33" s="616"/>
      <c r="B33" s="333" t="s">
        <v>63</v>
      </c>
      <c r="C33" s="334"/>
      <c r="D33" s="340"/>
      <c r="E33" s="339"/>
      <c r="F33" s="340"/>
      <c r="G33" s="340"/>
      <c r="H33" s="340"/>
      <c r="I33" s="341"/>
      <c r="J33" s="77"/>
    </row>
    <row r="34" spans="1:10" ht="12" customHeight="1">
      <c r="A34" s="622"/>
      <c r="B34" s="326" t="s">
        <v>64</v>
      </c>
      <c r="C34" s="332"/>
      <c r="D34" s="340"/>
      <c r="E34" s="339"/>
      <c r="F34" s="340"/>
      <c r="G34" s="340"/>
      <c r="H34" s="340"/>
      <c r="I34" s="341"/>
      <c r="J34" s="77"/>
    </row>
    <row r="35" spans="1:10" ht="12" customHeight="1">
      <c r="A35" s="616"/>
      <c r="B35" s="326" t="s">
        <v>65</v>
      </c>
      <c r="C35" s="332"/>
      <c r="D35" s="340"/>
      <c r="E35" s="339"/>
      <c r="F35" s="340"/>
      <c r="G35" s="340"/>
      <c r="H35" s="340"/>
      <c r="I35" s="341"/>
      <c r="J35" s="77"/>
    </row>
    <row r="36" spans="1:10" ht="12" customHeight="1">
      <c r="A36" s="616"/>
      <c r="B36" s="333" t="s">
        <v>66</v>
      </c>
      <c r="C36" s="334"/>
      <c r="D36" s="340"/>
      <c r="E36" s="339"/>
      <c r="F36" s="339"/>
      <c r="G36" s="339"/>
      <c r="H36" s="340"/>
      <c r="I36" s="341"/>
      <c r="J36" s="77"/>
    </row>
    <row r="37" spans="1:10" ht="12" customHeight="1">
      <c r="A37" s="616"/>
      <c r="B37" s="326" t="s">
        <v>67</v>
      </c>
      <c r="C37" s="332"/>
      <c r="D37" s="340"/>
      <c r="E37" s="340"/>
      <c r="F37" s="340"/>
      <c r="G37" s="340"/>
      <c r="H37" s="340"/>
      <c r="I37" s="341"/>
      <c r="J37" s="77"/>
    </row>
    <row r="38" spans="1:10" ht="12" customHeight="1">
      <c r="A38" s="616"/>
      <c r="B38" s="326" t="s">
        <v>68</v>
      </c>
      <c r="C38" s="332"/>
      <c r="D38" s="340"/>
      <c r="E38" s="340"/>
      <c r="F38" s="340"/>
      <c r="G38" s="340"/>
      <c r="H38" s="340"/>
      <c r="I38" s="341"/>
      <c r="J38" s="77"/>
    </row>
    <row r="39" spans="1:10" ht="12" customHeight="1">
      <c r="A39" s="616"/>
      <c r="B39" s="333" t="s">
        <v>69</v>
      </c>
      <c r="C39" s="334"/>
      <c r="D39" s="340"/>
      <c r="E39" s="340"/>
      <c r="F39" s="340"/>
      <c r="G39" s="340"/>
      <c r="H39" s="340"/>
      <c r="I39" s="341"/>
      <c r="J39" s="77"/>
    </row>
    <row r="40" spans="1:10" ht="12" customHeight="1">
      <c r="A40" s="616"/>
      <c r="B40" s="333" t="s">
        <v>70</v>
      </c>
      <c r="C40" s="334"/>
      <c r="D40" s="340"/>
      <c r="E40" s="340"/>
      <c r="F40" s="340"/>
      <c r="G40" s="340"/>
      <c r="H40" s="340"/>
      <c r="I40" s="562"/>
      <c r="J40" s="77"/>
    </row>
    <row r="41" spans="1:10" ht="12" customHeight="1">
      <c r="A41" s="616"/>
      <c r="B41" s="333" t="s">
        <v>71</v>
      </c>
      <c r="C41" s="334"/>
      <c r="D41" s="340"/>
      <c r="E41" s="340"/>
      <c r="F41" s="340"/>
      <c r="G41" s="340"/>
      <c r="H41" s="340"/>
      <c r="I41" s="341"/>
      <c r="J41" s="77"/>
    </row>
    <row r="42" spans="1:10" ht="12" customHeight="1" thickBot="1">
      <c r="A42" s="623"/>
      <c r="B42" s="337" t="s">
        <v>72</v>
      </c>
      <c r="C42" s="338"/>
      <c r="D42" s="347"/>
      <c r="E42" s="347"/>
      <c r="F42" s="347"/>
      <c r="G42" s="347"/>
      <c r="H42" s="347"/>
      <c r="I42" s="348"/>
      <c r="J42" s="77"/>
    </row>
    <row r="43" spans="1:10" ht="12" customHeight="1">
      <c r="A43" s="686" t="s">
        <v>207</v>
      </c>
      <c r="B43" s="89"/>
      <c r="C43" s="89"/>
      <c r="D43" s="298"/>
      <c r="F43" s="54"/>
      <c r="G43" s="298"/>
      <c r="H43" s="193"/>
      <c r="I43" s="358"/>
      <c r="J43" s="77"/>
    </row>
    <row r="44" spans="1:10" ht="12" customHeight="1">
      <c r="A44" s="609" t="s">
        <v>118</v>
      </c>
      <c r="B44" s="89"/>
      <c r="C44" s="89"/>
      <c r="D44" s="298"/>
      <c r="F44" s="54"/>
      <c r="G44" s="298"/>
      <c r="H44" s="193"/>
      <c r="I44" s="358"/>
      <c r="J44" s="77"/>
    </row>
    <row r="45" spans="1:10" ht="12" customHeight="1">
      <c r="A45" s="686" t="s">
        <v>264</v>
      </c>
      <c r="B45" s="89"/>
      <c r="C45" s="89"/>
      <c r="D45" s="298"/>
      <c r="F45" s="54"/>
      <c r="G45" s="298"/>
      <c r="H45" s="193"/>
      <c r="I45" s="358"/>
      <c r="J45" s="77"/>
    </row>
    <row r="46" spans="1:10" s="370" customFormat="1" ht="12" customHeight="1">
      <c r="A46" s="609" t="str">
        <f>Titles!$A$10</f>
        <v>Source: CMHC Starts and Completion Survey, Market Absorption Survey</v>
      </c>
      <c r="B46" s="369"/>
      <c r="C46" s="369"/>
      <c r="D46" s="372"/>
      <c r="E46" s="372"/>
      <c r="F46" s="167"/>
      <c r="G46" s="369"/>
      <c r="H46" s="369"/>
      <c r="I46" s="369"/>
    </row>
    <row r="47" spans="1:10" ht="12" customHeight="1">
      <c r="A47" s="624"/>
      <c r="B47" s="359"/>
      <c r="C47" s="359"/>
      <c r="D47" s="360"/>
      <c r="E47" s="360"/>
      <c r="F47" s="361"/>
      <c r="G47" s="314"/>
      <c r="H47" s="90"/>
      <c r="I47" s="90"/>
    </row>
    <row r="48" spans="1:10" ht="9.75" customHeight="1"/>
  </sheetData>
  <phoneticPr fontId="11" type="noConversion"/>
  <pageMargins left="0.78740157480314965" right="0.51181102362204722" top="0.51181102362204722" bottom="0.51181102362204722" header="0.51181102362204722" footer="0.51181102362204722"/>
  <pageSetup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J15:IV15" numberStoredAsText="1"/>
    <ignoredError sqref="A46" unlockedFormula="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O57"/>
  <sheetViews>
    <sheetView showGridLines="0" showZeros="0" zoomScale="115" zoomScaleNormal="115" workbookViewId="0"/>
  </sheetViews>
  <sheetFormatPr defaultColWidth="11.53515625" defaultRowHeight="15.5"/>
  <cols>
    <col min="1" max="1" width="4.23046875" customWidth="1"/>
    <col min="2" max="2" width="8.53515625" customWidth="1"/>
    <col min="3" max="3" width="8.4609375" customWidth="1"/>
    <col min="4" max="4" width="7.23046875" customWidth="1"/>
    <col min="5" max="5" width="6.23046875" customWidth="1"/>
    <col min="6" max="6" width="6.765625" customWidth="1"/>
    <col min="7" max="7" width="7.23046875" customWidth="1"/>
    <col min="8" max="9" width="6.23046875" customWidth="1"/>
    <col min="10" max="10" width="7.23046875" customWidth="1"/>
    <col min="11" max="12" width="6.23046875" customWidth="1"/>
    <col min="13" max="13" width="7.765625" customWidth="1"/>
  </cols>
  <sheetData>
    <row r="1" spans="1:13" ht="16.149999999999999" customHeight="1">
      <c r="A1" s="406" t="s">
        <v>136</v>
      </c>
      <c r="B1" s="407"/>
      <c r="C1" s="407"/>
      <c r="D1" s="407"/>
      <c r="E1" s="407"/>
      <c r="F1" s="407"/>
      <c r="G1" s="407"/>
      <c r="H1" s="407"/>
      <c r="I1" s="407"/>
      <c r="J1" s="407"/>
      <c r="K1" s="407"/>
      <c r="L1" s="408"/>
    </row>
    <row r="2" spans="1:13" ht="16.149999999999999" customHeight="1">
      <c r="A2" s="409" t="s">
        <v>92</v>
      </c>
      <c r="B2" s="410"/>
      <c r="C2" s="410"/>
      <c r="D2" s="410"/>
      <c r="E2" s="410"/>
      <c r="F2" s="410"/>
      <c r="G2" s="410"/>
      <c r="H2" s="410"/>
      <c r="I2" s="410"/>
      <c r="J2" s="410"/>
      <c r="K2" s="410"/>
      <c r="L2" s="411"/>
    </row>
    <row r="3" spans="1:13" ht="16.149999999999999" customHeight="1">
      <c r="A3" s="480"/>
      <c r="B3" s="481"/>
      <c r="C3" s="482"/>
      <c r="D3" s="482"/>
      <c r="E3" s="482"/>
      <c r="F3" s="482"/>
      <c r="G3" s="482"/>
      <c r="H3" s="482"/>
      <c r="I3" s="482"/>
      <c r="J3" s="482"/>
      <c r="K3" s="482"/>
      <c r="L3" s="483"/>
    </row>
    <row r="4" spans="1:13" ht="16.149999999999999" customHeight="1" thickBot="1">
      <c r="A4" s="484"/>
      <c r="B4" s="485"/>
      <c r="C4" s="486"/>
      <c r="D4" s="486"/>
      <c r="E4" s="486"/>
      <c r="F4" s="486"/>
      <c r="G4" s="486"/>
      <c r="H4" s="486"/>
      <c r="I4" s="486"/>
      <c r="J4" s="486"/>
      <c r="K4" s="486"/>
      <c r="L4" s="487"/>
    </row>
    <row r="5" spans="1:13" ht="12" customHeight="1">
      <c r="A5" s="50"/>
      <c r="B5" s="226"/>
      <c r="C5" s="56"/>
      <c r="D5" s="440" t="s">
        <v>96</v>
      </c>
      <c r="E5" s="441"/>
      <c r="F5" s="442"/>
      <c r="G5" s="440" t="s">
        <v>95</v>
      </c>
      <c r="H5" s="441"/>
      <c r="I5" s="442"/>
      <c r="J5" s="440" t="s">
        <v>12</v>
      </c>
      <c r="K5" s="441"/>
      <c r="L5" s="443"/>
    </row>
    <row r="6" spans="1:13" ht="12" customHeight="1">
      <c r="A6" s="50"/>
      <c r="B6" s="226"/>
      <c r="C6" s="56"/>
      <c r="D6" s="440" t="s">
        <v>97</v>
      </c>
      <c r="E6" s="394"/>
      <c r="F6" s="488"/>
      <c r="G6" s="440"/>
      <c r="H6" s="441"/>
      <c r="I6" s="442"/>
      <c r="J6" s="383"/>
      <c r="K6" s="52"/>
      <c r="L6" s="384"/>
    </row>
    <row r="7" spans="1:13" ht="24.75" customHeight="1">
      <c r="A7" s="48" t="s">
        <v>93</v>
      </c>
      <c r="B7" s="227"/>
      <c r="C7" s="56"/>
      <c r="D7" s="489"/>
      <c r="E7" s="490"/>
      <c r="F7" s="491"/>
      <c r="G7" s="444"/>
      <c r="H7" s="445"/>
      <c r="I7" s="446"/>
      <c r="L7" s="382"/>
    </row>
    <row r="8" spans="1:13" ht="12" customHeight="1">
      <c r="A8" s="48"/>
      <c r="B8" s="227"/>
      <c r="C8" s="56"/>
      <c r="D8" s="221" t="s">
        <v>51</v>
      </c>
      <c r="E8" s="224" t="s">
        <v>54</v>
      </c>
      <c r="F8" s="385" t="s">
        <v>44</v>
      </c>
      <c r="G8" s="221" t="s">
        <v>51</v>
      </c>
      <c r="H8" s="224" t="s">
        <v>54</v>
      </c>
      <c r="I8" s="385" t="s">
        <v>44</v>
      </c>
      <c r="J8" s="221" t="s">
        <v>51</v>
      </c>
      <c r="K8" s="221" t="s">
        <v>54</v>
      </c>
      <c r="L8" s="387" t="s">
        <v>44</v>
      </c>
      <c r="M8" s="148"/>
    </row>
    <row r="9" spans="1:13" ht="12" customHeight="1">
      <c r="A9" s="48"/>
      <c r="B9" s="227"/>
      <c r="C9" s="56"/>
      <c r="D9" s="222" t="s">
        <v>53</v>
      </c>
      <c r="E9" s="224" t="s">
        <v>56</v>
      </c>
      <c r="F9" s="386"/>
      <c r="G9" s="222" t="s">
        <v>53</v>
      </c>
      <c r="H9" s="224" t="s">
        <v>56</v>
      </c>
      <c r="I9" s="386"/>
      <c r="J9" s="222" t="s">
        <v>53</v>
      </c>
      <c r="K9" s="224" t="s">
        <v>56</v>
      </c>
      <c r="L9" s="225"/>
      <c r="M9" s="148"/>
    </row>
    <row r="10" spans="1:13" ht="12" customHeight="1">
      <c r="A10" s="48"/>
      <c r="B10" s="227"/>
      <c r="C10" s="56"/>
      <c r="D10" s="223"/>
      <c r="E10" s="224"/>
      <c r="F10" s="220"/>
      <c r="G10" s="223"/>
      <c r="H10" s="224"/>
      <c r="I10" s="220"/>
      <c r="J10" s="223"/>
      <c r="L10" s="225"/>
      <c r="M10" s="148"/>
    </row>
    <row r="11" spans="1:13" ht="12" customHeight="1">
      <c r="A11" s="48"/>
      <c r="B11" s="227"/>
      <c r="C11" s="56"/>
      <c r="D11" s="223"/>
      <c r="E11" s="224"/>
      <c r="F11" s="220"/>
      <c r="G11" s="223"/>
      <c r="H11" s="224"/>
      <c r="I11" s="220"/>
      <c r="J11" s="223"/>
      <c r="L11" s="225"/>
      <c r="M11" s="148"/>
    </row>
    <row r="12" spans="1:13" ht="12" customHeight="1">
      <c r="A12" s="51"/>
      <c r="B12" s="228"/>
      <c r="C12" s="57"/>
      <c r="D12" s="219"/>
      <c r="E12" s="219"/>
      <c r="G12" s="219"/>
      <c r="H12" s="219"/>
      <c r="J12" s="219"/>
      <c r="K12" s="219"/>
      <c r="L12" s="225"/>
      <c r="M12" s="148"/>
    </row>
    <row r="13" spans="1:13" ht="12" customHeight="1">
      <c r="A13" s="280">
        <v>2026</v>
      </c>
      <c r="B13" s="281" t="s">
        <v>57</v>
      </c>
      <c r="C13" s="282"/>
      <c r="D13" s="40"/>
      <c r="E13" s="40"/>
      <c r="F13" s="40"/>
      <c r="G13" s="40"/>
      <c r="H13" s="40"/>
      <c r="I13" s="40"/>
      <c r="J13" s="40"/>
      <c r="K13" s="40"/>
      <c r="L13" s="23"/>
      <c r="M13" s="148"/>
    </row>
    <row r="14" spans="1:13" ht="12" customHeight="1">
      <c r="A14" s="283"/>
      <c r="B14" s="284" t="s">
        <v>58</v>
      </c>
      <c r="C14" s="285"/>
      <c r="D14" s="41"/>
      <c r="E14" s="41"/>
      <c r="F14" s="41"/>
      <c r="G14" s="40"/>
      <c r="H14" s="41"/>
      <c r="I14" s="41"/>
      <c r="J14" s="41"/>
      <c r="K14" s="41"/>
      <c r="L14" s="29"/>
    </row>
    <row r="15" spans="1:13" ht="12" customHeight="1">
      <c r="A15" s="283"/>
      <c r="B15" s="284" t="s">
        <v>59</v>
      </c>
      <c r="C15" s="285"/>
      <c r="D15" s="41"/>
      <c r="E15" s="41"/>
      <c r="F15" s="41"/>
      <c r="G15" s="41"/>
      <c r="H15" s="41"/>
      <c r="I15" s="41"/>
      <c r="J15" s="41"/>
      <c r="K15" s="41"/>
      <c r="L15" s="29"/>
    </row>
    <row r="16" spans="1:13" ht="12" customHeight="1">
      <c r="A16" s="286"/>
      <c r="B16" s="287" t="s">
        <v>60</v>
      </c>
      <c r="C16" s="288"/>
      <c r="D16" s="41"/>
      <c r="E16" s="41"/>
      <c r="F16" s="41"/>
      <c r="G16" s="738"/>
      <c r="H16" s="738"/>
      <c r="I16" s="41"/>
      <c r="J16" s="41"/>
      <c r="K16" s="41"/>
      <c r="L16" s="23"/>
    </row>
    <row r="17" spans="1:12" ht="12" customHeight="1">
      <c r="A17" s="625">
        <f>Titles!A23</f>
        <v>2026</v>
      </c>
      <c r="B17" s="281" t="s">
        <v>61</v>
      </c>
      <c r="C17" s="282"/>
      <c r="D17" s="40">
        <v>41656.000000000007</v>
      </c>
      <c r="E17" s="41">
        <v>178323</v>
      </c>
      <c r="F17" s="40">
        <v>219978.99999999997</v>
      </c>
      <c r="G17" s="264"/>
      <c r="H17" s="268"/>
      <c r="I17" s="40">
        <v>20169</v>
      </c>
      <c r="J17" s="264"/>
      <c r="K17" s="264"/>
      <c r="L17" s="23">
        <f>IF(F17="","",F17+I17)</f>
        <v>240147.99999999997</v>
      </c>
    </row>
    <row r="18" spans="1:12" ht="12" customHeight="1">
      <c r="A18" s="283"/>
      <c r="B18" s="284" t="s">
        <v>62</v>
      </c>
      <c r="C18" s="285"/>
      <c r="D18" s="41">
        <v>38190</v>
      </c>
      <c r="E18" s="41">
        <v>192310</v>
      </c>
      <c r="F18" s="41">
        <v>230500</v>
      </c>
      <c r="G18" s="265"/>
      <c r="H18" s="269"/>
      <c r="I18" s="41">
        <v>20400.000000000004</v>
      </c>
      <c r="J18" s="265"/>
      <c r="K18" s="265"/>
      <c r="L18" s="29">
        <f>IF(F18="","",F18+I18)</f>
        <v>250900</v>
      </c>
    </row>
    <row r="19" spans="1:12" ht="12" customHeight="1">
      <c r="A19" s="283"/>
      <c r="B19" s="284" t="s">
        <v>63</v>
      </c>
      <c r="C19" s="285"/>
      <c r="D19" s="41" t="s">
        <v>50</v>
      </c>
      <c r="E19" s="41" t="s">
        <v>50</v>
      </c>
      <c r="F19" s="41" t="s">
        <v>50</v>
      </c>
      <c r="G19" s="265"/>
      <c r="H19" s="269"/>
      <c r="I19" s="41" t="s">
        <v>50</v>
      </c>
      <c r="J19" s="265"/>
      <c r="K19" s="265"/>
      <c r="L19" s="29" t="str">
        <f t="shared" ref="L19:L27" si="0">IF(F19="","",F19+I19)</f>
        <v/>
      </c>
    </row>
    <row r="20" spans="1:12" ht="12" customHeight="1">
      <c r="A20" s="283"/>
      <c r="B20" s="284" t="s">
        <v>64</v>
      </c>
      <c r="C20" s="285"/>
      <c r="D20" s="41" t="s">
        <v>50</v>
      </c>
      <c r="E20" s="41" t="s">
        <v>50</v>
      </c>
      <c r="F20" s="41" t="s">
        <v>50</v>
      </c>
      <c r="G20" s="265"/>
      <c r="H20" s="269"/>
      <c r="I20" s="41" t="s">
        <v>50</v>
      </c>
      <c r="J20" s="265"/>
      <c r="K20" s="265"/>
      <c r="L20" s="29" t="str">
        <f t="shared" si="0"/>
        <v/>
      </c>
    </row>
    <row r="21" spans="1:12" ht="12" customHeight="1">
      <c r="A21" s="283"/>
      <c r="B21" s="284" t="s">
        <v>65</v>
      </c>
      <c r="C21" s="285"/>
      <c r="D21" s="41" t="s">
        <v>50</v>
      </c>
      <c r="E21" s="41" t="s">
        <v>50</v>
      </c>
      <c r="F21" s="41" t="s">
        <v>50</v>
      </c>
      <c r="G21" s="265"/>
      <c r="H21" s="269"/>
      <c r="I21" s="41" t="s">
        <v>50</v>
      </c>
      <c r="J21" s="265"/>
      <c r="K21" s="265"/>
      <c r="L21" s="29" t="str">
        <f t="shared" si="0"/>
        <v/>
      </c>
    </row>
    <row r="22" spans="1:12" ht="12" customHeight="1">
      <c r="A22" s="283"/>
      <c r="B22" s="284" t="s">
        <v>66</v>
      </c>
      <c r="C22" s="285"/>
      <c r="D22" s="41" t="s">
        <v>50</v>
      </c>
      <c r="E22" s="41" t="s">
        <v>50</v>
      </c>
      <c r="F22" s="41" t="s">
        <v>50</v>
      </c>
      <c r="G22" s="265"/>
      <c r="H22" s="269"/>
      <c r="I22" s="41" t="s">
        <v>50</v>
      </c>
      <c r="J22" s="266"/>
      <c r="K22" s="266"/>
      <c r="L22" s="29" t="str">
        <f t="shared" si="0"/>
        <v/>
      </c>
    </row>
    <row r="23" spans="1:12" ht="12" customHeight="1">
      <c r="A23" s="283"/>
      <c r="B23" s="284" t="s">
        <v>67</v>
      </c>
      <c r="C23" s="285"/>
      <c r="D23" s="41" t="s">
        <v>50</v>
      </c>
      <c r="E23" s="41" t="s">
        <v>50</v>
      </c>
      <c r="F23" s="41" t="s">
        <v>50</v>
      </c>
      <c r="G23" s="265"/>
      <c r="H23" s="269"/>
      <c r="I23" s="41" t="s">
        <v>50</v>
      </c>
      <c r="J23" s="266"/>
      <c r="K23" s="266"/>
      <c r="L23" s="29" t="str">
        <f t="shared" si="0"/>
        <v/>
      </c>
    </row>
    <row r="24" spans="1:12" ht="12" customHeight="1">
      <c r="A24" s="283"/>
      <c r="B24" s="284" t="s">
        <v>68</v>
      </c>
      <c r="C24" s="285"/>
      <c r="D24" s="41" t="s">
        <v>50</v>
      </c>
      <c r="E24" s="41" t="s">
        <v>50</v>
      </c>
      <c r="F24" s="41" t="s">
        <v>50</v>
      </c>
      <c r="G24" s="265"/>
      <c r="H24" s="269"/>
      <c r="I24" s="41" t="s">
        <v>50</v>
      </c>
      <c r="J24" s="265"/>
      <c r="K24" s="265"/>
      <c r="L24" s="29" t="str">
        <f t="shared" si="0"/>
        <v/>
      </c>
    </row>
    <row r="25" spans="1:12" ht="12" customHeight="1">
      <c r="A25" s="283"/>
      <c r="B25" s="284" t="s">
        <v>69</v>
      </c>
      <c r="C25" s="285"/>
      <c r="D25" s="41" t="s">
        <v>50</v>
      </c>
      <c r="E25" s="41" t="s">
        <v>50</v>
      </c>
      <c r="F25" s="41" t="s">
        <v>50</v>
      </c>
      <c r="G25" s="265"/>
      <c r="H25" s="269"/>
      <c r="I25" s="41" t="s">
        <v>50</v>
      </c>
      <c r="J25" s="265"/>
      <c r="K25" s="265"/>
      <c r="L25" s="29" t="str">
        <f t="shared" si="0"/>
        <v/>
      </c>
    </row>
    <row r="26" spans="1:12" ht="12" customHeight="1">
      <c r="A26" s="283"/>
      <c r="B26" s="284" t="s">
        <v>70</v>
      </c>
      <c r="C26" s="285"/>
      <c r="D26" s="41" t="s">
        <v>50</v>
      </c>
      <c r="E26" s="41" t="s">
        <v>50</v>
      </c>
      <c r="F26" s="41" t="s">
        <v>50</v>
      </c>
      <c r="G26" s="265"/>
      <c r="H26" s="269"/>
      <c r="I26" s="41" t="s">
        <v>50</v>
      </c>
      <c r="J26" s="266"/>
      <c r="K26" s="266"/>
      <c r="L26" s="29" t="str">
        <f t="shared" si="0"/>
        <v/>
      </c>
    </row>
    <row r="27" spans="1:12" ht="12" customHeight="1">
      <c r="A27" s="283"/>
      <c r="B27" s="284" t="s">
        <v>71</v>
      </c>
      <c r="C27" s="285"/>
      <c r="D27" s="41" t="s">
        <v>50</v>
      </c>
      <c r="E27" s="41" t="s">
        <v>50</v>
      </c>
      <c r="F27" s="41" t="s">
        <v>50</v>
      </c>
      <c r="G27" s="265"/>
      <c r="H27" s="269"/>
      <c r="I27" s="41" t="s">
        <v>50</v>
      </c>
      <c r="J27" s="265"/>
      <c r="K27" s="265"/>
      <c r="L27" s="29" t="str">
        <f t="shared" si="0"/>
        <v/>
      </c>
    </row>
    <row r="28" spans="1:12" ht="12" customHeight="1" thickBot="1">
      <c r="A28" s="289"/>
      <c r="B28" s="290" t="s">
        <v>72</v>
      </c>
      <c r="C28" s="291"/>
      <c r="D28" s="229" t="s">
        <v>50</v>
      </c>
      <c r="E28" s="230" t="s">
        <v>50</v>
      </c>
      <c r="F28" s="230" t="s">
        <v>50</v>
      </c>
      <c r="G28" s="267"/>
      <c r="H28" s="270"/>
      <c r="I28" s="230" t="s">
        <v>50</v>
      </c>
      <c r="J28" s="267"/>
      <c r="K28" s="267"/>
      <c r="L28" s="231" t="str">
        <f>IF(F28="","",F28+I28)</f>
        <v/>
      </c>
    </row>
    <row r="29" spans="1:12" ht="12" customHeight="1">
      <c r="A29" s="232"/>
      <c r="B29" s="168"/>
      <c r="C29" s="168"/>
      <c r="D29" s="168"/>
      <c r="E29" s="168"/>
      <c r="F29" s="233"/>
      <c r="G29" s="168"/>
      <c r="H29" s="168"/>
      <c r="I29" s="168"/>
      <c r="J29" s="148"/>
      <c r="K29" s="148"/>
      <c r="L29" s="148"/>
    </row>
    <row r="30" spans="1:12" ht="12" customHeight="1">
      <c r="A30" s="91"/>
      <c r="B30" s="169"/>
      <c r="C30" s="169"/>
      <c r="D30" s="169"/>
      <c r="E30" s="169"/>
      <c r="F30" s="167"/>
      <c r="G30" s="169"/>
      <c r="H30" s="169"/>
      <c r="I30" s="169"/>
    </row>
    <row r="32" spans="1:12" ht="16" thickBot="1">
      <c r="J32" s="148"/>
      <c r="K32" s="148"/>
      <c r="L32" s="148"/>
    </row>
    <row r="33" spans="1:15" ht="15.75" customHeight="1">
      <c r="A33" s="406" t="s">
        <v>206</v>
      </c>
      <c r="B33" s="407"/>
      <c r="C33" s="407"/>
      <c r="D33" s="407"/>
      <c r="E33" s="407"/>
      <c r="F33" s="407"/>
      <c r="G33" s="407"/>
      <c r="H33" s="407"/>
      <c r="I33" s="408"/>
      <c r="J33" s="236"/>
      <c r="K33" s="218"/>
      <c r="L33" s="218"/>
      <c r="M33" s="148"/>
    </row>
    <row r="34" spans="1:15" ht="15.75" customHeight="1">
      <c r="A34" s="409" t="s">
        <v>146</v>
      </c>
      <c r="B34" s="410"/>
      <c r="C34" s="410"/>
      <c r="D34" s="410"/>
      <c r="E34" s="410"/>
      <c r="F34" s="410"/>
      <c r="G34" s="410"/>
      <c r="H34" s="410"/>
      <c r="I34" s="411"/>
      <c r="J34" s="236"/>
      <c r="K34" s="218"/>
      <c r="L34" s="218"/>
      <c r="M34" s="148"/>
    </row>
    <row r="35" spans="1:15" ht="15.75" customHeight="1">
      <c r="A35" s="409" t="s">
        <v>99</v>
      </c>
      <c r="B35" s="410"/>
      <c r="C35" s="410"/>
      <c r="D35" s="410"/>
      <c r="E35" s="410"/>
      <c r="F35" s="410"/>
      <c r="G35" s="410"/>
      <c r="H35" s="410"/>
      <c r="I35" s="411"/>
      <c r="J35" s="236"/>
      <c r="K35" s="218"/>
      <c r="L35" s="218"/>
      <c r="M35" s="148"/>
    </row>
    <row r="36" spans="1:15" ht="15.75" customHeight="1">
      <c r="A36" s="480"/>
      <c r="B36" s="454"/>
      <c r="C36" s="454"/>
      <c r="D36" s="454"/>
      <c r="E36" s="454"/>
      <c r="F36" s="454"/>
      <c r="G36" s="454"/>
      <c r="H36" s="454"/>
      <c r="I36" s="455"/>
      <c r="J36" s="236"/>
      <c r="K36" s="218"/>
      <c r="L36" s="218"/>
      <c r="M36" s="148"/>
    </row>
    <row r="37" spans="1:15" ht="15.75" customHeight="1" thickBot="1">
      <c r="A37" s="484"/>
      <c r="B37" s="486"/>
      <c r="C37" s="486"/>
      <c r="D37" s="486"/>
      <c r="E37" s="486"/>
      <c r="F37" s="486"/>
      <c r="G37" s="486"/>
      <c r="H37" s="486"/>
      <c r="I37" s="487"/>
      <c r="J37" s="236"/>
      <c r="K37" s="218"/>
      <c r="L37" s="218"/>
      <c r="M37" s="148"/>
      <c r="O37" s="240"/>
    </row>
    <row r="38" spans="1:15" ht="12" customHeight="1">
      <c r="A38" s="48" t="s">
        <v>93</v>
      </c>
      <c r="B38" s="63"/>
      <c r="C38" s="34"/>
      <c r="D38" s="241" t="s">
        <v>4</v>
      </c>
      <c r="E38" s="241" t="s">
        <v>31</v>
      </c>
      <c r="F38" s="241" t="s">
        <v>74</v>
      </c>
      <c r="G38" s="241" t="s">
        <v>10</v>
      </c>
      <c r="H38" s="241" t="s">
        <v>98</v>
      </c>
      <c r="I38" s="683" t="s">
        <v>44</v>
      </c>
      <c r="J38" s="63"/>
      <c r="K38" s="63"/>
      <c r="L38" s="63"/>
      <c r="M38" s="148"/>
    </row>
    <row r="39" spans="1:15" ht="12" customHeight="1">
      <c r="A39" s="51"/>
      <c r="B39" s="228"/>
      <c r="C39" s="234"/>
      <c r="D39" s="219"/>
      <c r="E39" s="219"/>
      <c r="F39" s="219"/>
      <c r="G39" s="219"/>
      <c r="H39" s="219"/>
      <c r="I39" s="395"/>
      <c r="J39" s="237"/>
      <c r="K39" s="239"/>
      <c r="L39" s="238"/>
    </row>
    <row r="40" spans="1:15" ht="12" customHeight="1">
      <c r="A40" s="642" t="s">
        <v>262</v>
      </c>
      <c r="B40" s="281"/>
      <c r="C40" s="282"/>
      <c r="D40" s="754">
        <v>16916</v>
      </c>
      <c r="E40" s="754">
        <v>48713</v>
      </c>
      <c r="F40" s="754">
        <v>74326</v>
      </c>
      <c r="G40" s="754">
        <v>59337</v>
      </c>
      <c r="H40" s="754">
        <v>46625</v>
      </c>
      <c r="I40" s="753">
        <v>245917</v>
      </c>
      <c r="J40" s="30"/>
      <c r="K40" s="63"/>
      <c r="L40" s="64"/>
    </row>
    <row r="41" spans="1:15" ht="12" customHeight="1">
      <c r="A41" s="643" t="s">
        <v>267</v>
      </c>
      <c r="B41" s="292"/>
      <c r="C41" s="293"/>
      <c r="D41" s="754">
        <v>20684</v>
      </c>
      <c r="E41" s="754">
        <v>59864</v>
      </c>
      <c r="F41" s="754">
        <v>65376</v>
      </c>
      <c r="G41" s="754">
        <v>68911</v>
      </c>
      <c r="H41" s="754">
        <v>44193</v>
      </c>
      <c r="I41" s="754">
        <v>259028</v>
      </c>
      <c r="J41" s="30"/>
      <c r="K41" s="63"/>
      <c r="L41" s="64"/>
    </row>
    <row r="42" spans="1:15" ht="12" customHeight="1">
      <c r="A42" s="106">
        <v>2025</v>
      </c>
      <c r="B42" s="294" t="s">
        <v>57</v>
      </c>
      <c r="C42" s="295"/>
      <c r="D42" s="108">
        <v>17723</v>
      </c>
      <c r="E42" s="108">
        <v>55668</v>
      </c>
      <c r="F42" s="108">
        <v>50269.999999999993</v>
      </c>
      <c r="G42" s="108">
        <v>65826</v>
      </c>
      <c r="H42" s="108">
        <v>40541</v>
      </c>
      <c r="I42" s="108">
        <f>IF(D42="","",SUM(D42:H42))</f>
        <v>230028</v>
      </c>
      <c r="J42" s="30"/>
      <c r="K42" s="63"/>
      <c r="L42" s="64"/>
    </row>
    <row r="43" spans="1:15" ht="12" customHeight="1">
      <c r="A43" s="116"/>
      <c r="B43" s="284" t="s">
        <v>58</v>
      </c>
      <c r="C43" s="285"/>
      <c r="D43" s="112">
        <v>21002.000000000004</v>
      </c>
      <c r="E43" s="112">
        <v>59248</v>
      </c>
      <c r="F43" s="112">
        <v>69220</v>
      </c>
      <c r="G43" s="112">
        <v>78124.999999999985</v>
      </c>
      <c r="H43" s="112">
        <v>48447.999999999993</v>
      </c>
      <c r="I43" s="112">
        <f t="shared" ref="I43:I45" si="1">IF(D43="","",SUM(D43:H43))</f>
        <v>276043</v>
      </c>
      <c r="J43" s="30"/>
      <c r="K43" s="63"/>
      <c r="L43" s="64"/>
      <c r="M43" s="148"/>
    </row>
    <row r="44" spans="1:15" ht="12" customHeight="1">
      <c r="A44" s="694"/>
      <c r="B44" s="284" t="s">
        <v>59</v>
      </c>
      <c r="C44" s="285"/>
      <c r="D44" s="112">
        <v>22799</v>
      </c>
      <c r="E44" s="112">
        <v>59724</v>
      </c>
      <c r="F44" s="112">
        <v>75271.999999999985</v>
      </c>
      <c r="G44" s="112">
        <v>67190</v>
      </c>
      <c r="H44" s="112">
        <v>47649.000000000007</v>
      </c>
      <c r="I44" s="112">
        <f t="shared" si="1"/>
        <v>272634</v>
      </c>
      <c r="J44" s="30"/>
      <c r="K44" s="63"/>
      <c r="L44" s="64"/>
      <c r="M44" s="148"/>
    </row>
    <row r="45" spans="1:15" ht="12" customHeight="1" thickBot="1">
      <c r="A45" s="694"/>
      <c r="B45" s="284" t="s">
        <v>60</v>
      </c>
      <c r="C45" s="285"/>
      <c r="D45" s="200">
        <v>21145</v>
      </c>
      <c r="E45" s="200">
        <v>63569.999999999993</v>
      </c>
      <c r="F45" s="200">
        <v>67241</v>
      </c>
      <c r="G45" s="200">
        <v>64938.999999999993</v>
      </c>
      <c r="H45" s="200">
        <v>40086</v>
      </c>
      <c r="I45" s="200">
        <f t="shared" si="1"/>
        <v>256981</v>
      </c>
      <c r="J45" s="30"/>
      <c r="K45" s="63"/>
      <c r="L45" s="64"/>
      <c r="M45" s="64"/>
    </row>
    <row r="46" spans="1:15" ht="12" customHeight="1">
      <c r="A46" s="694"/>
      <c r="B46" s="294"/>
      <c r="C46" s="295"/>
      <c r="D46" s="41"/>
      <c r="E46" s="41"/>
      <c r="F46" s="41"/>
      <c r="G46" s="26"/>
      <c r="H46" s="27"/>
      <c r="I46" s="235"/>
      <c r="J46" s="30"/>
      <c r="K46" s="63"/>
      <c r="L46" s="64"/>
      <c r="M46" s="64"/>
    </row>
    <row r="47" spans="1:15" ht="12" customHeight="1">
      <c r="A47" s="694">
        <v>2026</v>
      </c>
      <c r="B47" s="294" t="s">
        <v>57</v>
      </c>
      <c r="C47" s="295"/>
      <c r="D47" s="108"/>
      <c r="E47" s="108"/>
      <c r="F47" s="108"/>
      <c r="G47" s="108"/>
      <c r="H47" s="108"/>
      <c r="I47" s="108"/>
      <c r="J47" s="30"/>
      <c r="K47" s="63"/>
      <c r="L47" s="64"/>
      <c r="M47" s="148"/>
    </row>
    <row r="48" spans="1:15" ht="12" customHeight="1">
      <c r="A48" s="283"/>
      <c r="B48" s="284" t="s">
        <v>58</v>
      </c>
      <c r="C48" s="285"/>
      <c r="D48" s="112"/>
      <c r="E48" s="112"/>
      <c r="F48" s="112"/>
      <c r="G48" s="112"/>
      <c r="H48" s="112"/>
      <c r="I48" s="112"/>
      <c r="J48" s="30"/>
      <c r="K48" s="63"/>
      <c r="L48" s="64"/>
      <c r="M48" s="148"/>
    </row>
    <row r="49" spans="1:13" ht="12" customHeight="1">
      <c r="A49" s="283"/>
      <c r="B49" s="284" t="s">
        <v>59</v>
      </c>
      <c r="C49" s="285"/>
      <c r="D49" s="112"/>
      <c r="E49" s="112"/>
      <c r="F49" s="112"/>
      <c r="G49" s="112"/>
      <c r="H49" s="112"/>
      <c r="I49" s="112"/>
      <c r="J49" s="30"/>
      <c r="K49" s="63"/>
      <c r="L49" s="64"/>
      <c r="M49" s="148"/>
    </row>
    <row r="50" spans="1:13" ht="12" customHeight="1" thickBot="1">
      <c r="A50" s="289"/>
      <c r="B50" s="290" t="s">
        <v>60</v>
      </c>
      <c r="C50" s="291"/>
      <c r="D50" s="200"/>
      <c r="E50" s="200"/>
      <c r="F50" s="200"/>
      <c r="G50" s="200"/>
      <c r="H50" s="200"/>
      <c r="I50" s="200"/>
      <c r="J50" s="30"/>
      <c r="K50" s="63"/>
      <c r="L50" s="64"/>
      <c r="M50" s="148"/>
    </row>
    <row r="51" spans="1:13" ht="1.9" customHeight="1">
      <c r="A51" s="227"/>
      <c r="B51" s="227"/>
      <c r="C51" s="315"/>
      <c r="D51" s="63"/>
      <c r="E51" s="64"/>
      <c r="F51" s="64"/>
      <c r="G51" s="63"/>
      <c r="H51" s="316"/>
      <c r="I51" s="64"/>
      <c r="J51" s="63"/>
      <c r="K51" s="63"/>
      <c r="L51" s="64"/>
      <c r="M51" s="148"/>
    </row>
    <row r="52" spans="1:13" s="10" customFormat="1" ht="12" customHeight="1">
      <c r="A52" s="363" t="str">
        <f>Titles!$A$12</f>
        <v>1 Data for 2023, 2024 and 2025 based on 2021 Census Definitions.</v>
      </c>
      <c r="B52" s="227"/>
      <c r="C52" s="227"/>
      <c r="D52" s="227"/>
      <c r="E52" s="364"/>
      <c r="G52" s="227"/>
      <c r="H52" s="362"/>
      <c r="I52" s="227"/>
      <c r="J52" s="227"/>
      <c r="K52" s="299"/>
      <c r="L52" s="11"/>
    </row>
    <row r="53" spans="1:13" s="12" customFormat="1" ht="11.5">
      <c r="A53" s="351" t="s">
        <v>114</v>
      </c>
      <c r="B53" s="84"/>
      <c r="C53" s="356"/>
      <c r="D53" s="317"/>
      <c r="E53" s="54"/>
      <c r="F53" s="317"/>
      <c r="G53" s="317"/>
      <c r="H53" s="357"/>
      <c r="I53" s="77"/>
    </row>
    <row r="54" spans="1:13" s="305" customFormat="1" ht="10.9" customHeight="1">
      <c r="A54" s="318" t="s">
        <v>111</v>
      </c>
      <c r="B54" s="306"/>
      <c r="C54" s="306"/>
      <c r="D54" s="306"/>
      <c r="E54" s="350"/>
      <c r="F54" s="304"/>
      <c r="G54" s="304"/>
      <c r="H54" s="304"/>
    </row>
    <row r="55" spans="1:13" s="305" customFormat="1" ht="10.9" customHeight="1">
      <c r="B55" s="306"/>
      <c r="C55" s="306"/>
      <c r="D55" s="306"/>
      <c r="E55" s="319"/>
      <c r="F55" s="306"/>
      <c r="G55" s="306"/>
      <c r="H55" s="306"/>
    </row>
    <row r="56" spans="1:13" s="12" customFormat="1" ht="9.75" customHeight="1">
      <c r="A56" s="91"/>
      <c r="B56" s="169"/>
      <c r="C56" s="169"/>
      <c r="D56" s="169"/>
      <c r="E56" s="167"/>
      <c r="F56"/>
      <c r="G56" s="169"/>
      <c r="H56" s="169"/>
      <c r="I56" s="169"/>
    </row>
    <row r="57" spans="1:13" ht="9.75" customHeight="1"/>
  </sheetData>
  <phoneticPr fontId="11" type="noConversion"/>
  <pageMargins left="0.51181102362204722" right="0.51181102362204722" top="0.51181102362204722" bottom="0.51181102362204722" header="0.31496062992125984" footer="0.31496062992125984"/>
  <pageSetup scale="98" orientation="portrait" r:id="rId1"/>
  <headerFooter alignWithMargins="0">
    <oddHeader>&amp;C&amp;"Calibri"&amp;10&amp;K000000 Protected External-Protégé Externe&amp;1#_x000D_</oddHeader>
    <oddFooter>&amp;C_x000D_&amp;1#&amp;"Calibri"&amp;10&amp;K000000 Protected External-Protégé Externe</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41"/>
  <sheetViews>
    <sheetView showGridLines="0" showZeros="0" zoomScale="115" zoomScaleNormal="115" workbookViewId="0"/>
  </sheetViews>
  <sheetFormatPr defaultColWidth="11.53515625" defaultRowHeight="15.5"/>
  <cols>
    <col min="1" max="1" width="4.765625" customWidth="1"/>
    <col min="2" max="3" width="8.23046875" customWidth="1"/>
    <col min="4" max="4" width="9.765625" customWidth="1"/>
    <col min="5" max="5" width="10.23046875" customWidth="1"/>
    <col min="6" max="6" width="10.765625" customWidth="1"/>
    <col min="7" max="7" width="12.765625" customWidth="1"/>
    <col min="8" max="8" width="9.765625" customWidth="1"/>
  </cols>
  <sheetData>
    <row r="1" spans="1:8" ht="16.149999999999999" customHeight="1">
      <c r="A1" s="415" t="s">
        <v>135</v>
      </c>
      <c r="B1" s="416"/>
      <c r="C1" s="416"/>
      <c r="D1" s="416"/>
      <c r="E1" s="416"/>
      <c r="F1" s="416"/>
      <c r="G1" s="416"/>
      <c r="H1" s="417"/>
    </row>
    <row r="2" spans="1:8" ht="16.149999999999999" customHeight="1">
      <c r="A2" s="418" t="s">
        <v>144</v>
      </c>
      <c r="B2" s="419"/>
      <c r="C2" s="419"/>
      <c r="D2" s="419"/>
      <c r="E2" s="419"/>
      <c r="F2" s="419"/>
      <c r="G2" s="419"/>
      <c r="H2" s="420"/>
    </row>
    <row r="3" spans="1:8" ht="31.5" customHeight="1" thickBot="1">
      <c r="A3" s="492"/>
      <c r="B3" s="493"/>
      <c r="C3" s="493"/>
      <c r="D3" s="493"/>
      <c r="E3" s="493"/>
      <c r="F3" s="493"/>
      <c r="G3" s="493"/>
      <c r="H3" s="494"/>
    </row>
    <row r="4" spans="1:8" ht="12" customHeight="1">
      <c r="A4" s="117"/>
      <c r="B4" s="92"/>
      <c r="C4" s="118"/>
      <c r="D4" s="95" t="s">
        <v>76</v>
      </c>
      <c r="E4" s="119" t="s">
        <v>80</v>
      </c>
      <c r="F4" s="95" t="s">
        <v>77</v>
      </c>
      <c r="G4" s="95" t="s">
        <v>78</v>
      </c>
      <c r="H4" s="101" t="s">
        <v>44</v>
      </c>
    </row>
    <row r="5" spans="1:8" ht="12" customHeight="1">
      <c r="A5" s="81"/>
      <c r="B5" s="89"/>
      <c r="C5" s="100"/>
      <c r="D5" s="96"/>
      <c r="E5" s="95" t="s">
        <v>79</v>
      </c>
      <c r="F5" s="96"/>
      <c r="G5" s="95"/>
      <c r="H5" s="389"/>
    </row>
    <row r="6" spans="1:8" ht="12" customHeight="1">
      <c r="A6" s="81"/>
      <c r="B6" s="89"/>
      <c r="C6" s="100"/>
      <c r="D6" s="388"/>
      <c r="E6" s="96"/>
      <c r="F6" s="388"/>
      <c r="G6" s="95"/>
      <c r="H6" s="102"/>
    </row>
    <row r="7" spans="1:8" ht="12" customHeight="1">
      <c r="A7" s="144" t="s">
        <v>93</v>
      </c>
      <c r="B7" s="139"/>
      <c r="C7" s="145"/>
      <c r="D7" s="145"/>
      <c r="E7" s="143"/>
      <c r="F7" s="145"/>
      <c r="G7" s="143"/>
      <c r="H7" s="147"/>
    </row>
    <row r="8" spans="1:8" ht="12" customHeight="1">
      <c r="A8" s="642" t="s">
        <v>272</v>
      </c>
      <c r="B8" s="149"/>
      <c r="C8" s="177"/>
      <c r="D8" s="365">
        <v>978</v>
      </c>
      <c r="E8" s="365">
        <v>1139</v>
      </c>
      <c r="F8" s="365">
        <v>7159</v>
      </c>
      <c r="G8" s="365">
        <v>4547</v>
      </c>
      <c r="H8" s="564">
        <v>13823</v>
      </c>
    </row>
    <row r="9" spans="1:8" ht="12" customHeight="1">
      <c r="A9" s="643" t="s">
        <v>267</v>
      </c>
      <c r="B9" s="90"/>
      <c r="C9" s="100"/>
      <c r="D9" s="365">
        <v>1672</v>
      </c>
      <c r="E9" s="365">
        <v>1694</v>
      </c>
      <c r="F9" s="365">
        <v>7381</v>
      </c>
      <c r="G9" s="365">
        <v>6169</v>
      </c>
      <c r="H9" s="564">
        <v>16916</v>
      </c>
    </row>
    <row r="10" spans="1:8" ht="12" customHeight="1">
      <c r="A10" s="106">
        <v>2025</v>
      </c>
      <c r="B10" s="150" t="s">
        <v>57</v>
      </c>
      <c r="C10" s="159"/>
      <c r="D10" s="108">
        <v>1241</v>
      </c>
      <c r="E10" s="108">
        <v>2060</v>
      </c>
      <c r="F10" s="108">
        <v>7990</v>
      </c>
      <c r="G10" s="108">
        <v>6432</v>
      </c>
      <c r="H10" s="208">
        <f t="shared" ref="H10:H13" si="0">IF(D10="","",SUM(D10:G10))</f>
        <v>17723</v>
      </c>
    </row>
    <row r="11" spans="1:8" ht="12" customHeight="1">
      <c r="A11" s="116"/>
      <c r="B11" s="134" t="s">
        <v>58</v>
      </c>
      <c r="C11" s="160"/>
      <c r="D11" s="112">
        <v>1781.0000000000002</v>
      </c>
      <c r="E11" s="112">
        <v>1367</v>
      </c>
      <c r="F11" s="112">
        <v>10742</v>
      </c>
      <c r="G11" s="112">
        <v>7112</v>
      </c>
      <c r="H11" s="235">
        <f t="shared" si="0"/>
        <v>21002</v>
      </c>
    </row>
    <row r="12" spans="1:8" ht="12" customHeight="1">
      <c r="A12" s="116"/>
      <c r="B12" s="134" t="s">
        <v>59</v>
      </c>
      <c r="C12" s="160"/>
      <c r="D12" s="112">
        <v>1476</v>
      </c>
      <c r="E12" s="112">
        <v>2522.9999999999995</v>
      </c>
      <c r="F12" s="112">
        <v>10655.000000000002</v>
      </c>
      <c r="G12" s="112">
        <v>8145</v>
      </c>
      <c r="H12" s="235">
        <f t="shared" si="0"/>
        <v>22799</v>
      </c>
    </row>
    <row r="13" spans="1:8" ht="12" customHeight="1" thickBot="1">
      <c r="A13" s="144"/>
      <c r="B13" s="151" t="s">
        <v>60</v>
      </c>
      <c r="C13" s="178"/>
      <c r="D13" s="200">
        <v>1654</v>
      </c>
      <c r="E13" s="200">
        <v>1141</v>
      </c>
      <c r="F13" s="200">
        <v>9635</v>
      </c>
      <c r="G13" s="200">
        <v>8715</v>
      </c>
      <c r="H13" s="211">
        <f t="shared" si="0"/>
        <v>21145</v>
      </c>
    </row>
    <row r="14" spans="1:8" ht="12" customHeight="1">
      <c r="A14" s="106">
        <v>2026</v>
      </c>
      <c r="B14" s="150" t="s">
        <v>57</v>
      </c>
      <c r="C14" s="159"/>
      <c r="D14" s="108"/>
      <c r="E14" s="108"/>
      <c r="F14" s="108"/>
      <c r="G14" s="108"/>
      <c r="H14" s="208"/>
    </row>
    <row r="15" spans="1:8" ht="12" customHeight="1">
      <c r="A15" s="116"/>
      <c r="B15" s="134" t="s">
        <v>58</v>
      </c>
      <c r="C15" s="160"/>
      <c r="D15" s="112"/>
      <c r="E15" s="112"/>
      <c r="F15" s="112"/>
      <c r="G15" s="112"/>
      <c r="H15" s="235"/>
    </row>
    <row r="16" spans="1:8" ht="12" customHeight="1">
      <c r="A16" s="116"/>
      <c r="B16" s="134" t="s">
        <v>59</v>
      </c>
      <c r="C16" s="160"/>
      <c r="D16" s="112"/>
      <c r="E16" s="112"/>
      <c r="F16" s="112"/>
      <c r="G16" s="112"/>
      <c r="H16" s="235"/>
    </row>
    <row r="17" spans="1:9" ht="12" customHeight="1" thickBot="1">
      <c r="A17" s="243"/>
      <c r="B17" s="244" t="s">
        <v>60</v>
      </c>
      <c r="C17" s="245"/>
      <c r="D17" s="200"/>
      <c r="E17" s="200"/>
      <c r="F17" s="200"/>
      <c r="G17" s="200"/>
      <c r="H17" s="211"/>
    </row>
    <row r="18" spans="1:9" ht="12" customHeight="1">
      <c r="A18" s="248"/>
      <c r="B18" s="85"/>
      <c r="C18" s="242"/>
      <c r="D18" s="242"/>
      <c r="E18" s="242"/>
      <c r="F18" s="242"/>
      <c r="G18" s="242"/>
      <c r="H18" s="242"/>
      <c r="I18" s="148"/>
    </row>
    <row r="19" spans="1:9" ht="12" customHeight="1">
      <c r="A19" s="85"/>
      <c r="B19" s="85"/>
      <c r="C19" s="242"/>
      <c r="D19" s="242"/>
      <c r="E19" s="242"/>
      <c r="F19" s="242"/>
      <c r="G19" s="242"/>
      <c r="H19" s="242"/>
      <c r="I19" s="148"/>
    </row>
    <row r="20" spans="1:9" ht="12" customHeight="1">
      <c r="A20" s="85"/>
      <c r="B20" s="85"/>
      <c r="C20" s="242"/>
      <c r="D20" s="242"/>
      <c r="E20" s="242"/>
      <c r="F20" s="242"/>
      <c r="G20" s="242"/>
      <c r="H20" s="242"/>
      <c r="I20" s="148"/>
    </row>
    <row r="21" spans="1:9" ht="12" customHeight="1" thickBot="1">
      <c r="A21" s="249"/>
      <c r="B21" s="85"/>
      <c r="C21" s="242"/>
      <c r="D21" s="242"/>
      <c r="E21" s="242"/>
      <c r="F21" s="242"/>
      <c r="G21" s="242"/>
      <c r="H21" s="242"/>
      <c r="I21" s="148"/>
    </row>
    <row r="22" spans="1:9" ht="16.149999999999999" customHeight="1">
      <c r="A22" s="415" t="s">
        <v>137</v>
      </c>
      <c r="B22" s="416"/>
      <c r="C22" s="416"/>
      <c r="D22" s="416"/>
      <c r="E22" s="416"/>
      <c r="F22" s="416"/>
      <c r="G22" s="417"/>
      <c r="H22" s="246"/>
      <c r="I22" s="148"/>
    </row>
    <row r="23" spans="1:9" ht="16.149999999999999" customHeight="1">
      <c r="A23" s="418" t="s">
        <v>145</v>
      </c>
      <c r="B23" s="419"/>
      <c r="C23" s="419"/>
      <c r="D23" s="419"/>
      <c r="E23" s="419"/>
      <c r="F23" s="419"/>
      <c r="G23" s="420"/>
      <c r="H23" s="246"/>
      <c r="I23" s="148"/>
    </row>
    <row r="24" spans="1:9" ht="16.149999999999999" customHeight="1">
      <c r="A24" s="418" t="s">
        <v>99</v>
      </c>
      <c r="B24" s="419"/>
      <c r="C24" s="419"/>
      <c r="D24" s="419"/>
      <c r="E24" s="419"/>
      <c r="F24" s="419"/>
      <c r="G24" s="420"/>
      <c r="H24" s="246"/>
      <c r="I24" s="148"/>
    </row>
    <row r="25" spans="1:9" ht="16.149999999999999" customHeight="1">
      <c r="A25" s="421"/>
      <c r="B25" s="435"/>
      <c r="C25" s="435"/>
      <c r="D25" s="435"/>
      <c r="E25" s="435"/>
      <c r="F25" s="435"/>
      <c r="G25" s="436"/>
      <c r="H25" s="246"/>
      <c r="I25" s="148"/>
    </row>
    <row r="26" spans="1:9" ht="16.149999999999999" customHeight="1" thickBot="1">
      <c r="A26" s="424"/>
      <c r="B26" s="495"/>
      <c r="C26" s="495"/>
      <c r="D26" s="495"/>
      <c r="E26" s="495"/>
      <c r="F26" s="495"/>
      <c r="G26" s="496"/>
      <c r="H26" s="247"/>
      <c r="I26" s="148"/>
    </row>
    <row r="27" spans="1:9" ht="12" customHeight="1">
      <c r="A27" s="144" t="s">
        <v>93</v>
      </c>
      <c r="B27" s="92"/>
      <c r="C27" s="118"/>
      <c r="D27" s="279" t="s">
        <v>81</v>
      </c>
      <c r="E27" s="279" t="s">
        <v>82</v>
      </c>
      <c r="F27" s="279" t="s">
        <v>83</v>
      </c>
      <c r="G27" s="563" t="s">
        <v>44</v>
      </c>
      <c r="H27" s="242"/>
      <c r="I27" s="148"/>
    </row>
    <row r="28" spans="1:9" ht="12" customHeight="1">
      <c r="A28" s="642" t="s">
        <v>272</v>
      </c>
      <c r="B28" s="149"/>
      <c r="C28" s="177"/>
      <c r="D28" s="365">
        <v>7104</v>
      </c>
      <c r="E28" s="365">
        <v>4619</v>
      </c>
      <c r="F28" s="365">
        <v>36022</v>
      </c>
      <c r="G28" s="564">
        <v>47745</v>
      </c>
      <c r="H28" s="242"/>
      <c r="I28" s="148"/>
    </row>
    <row r="29" spans="1:9" ht="12" customHeight="1">
      <c r="A29" s="643" t="s">
        <v>267</v>
      </c>
      <c r="B29" s="90"/>
      <c r="C29" s="100"/>
      <c r="D29" s="365">
        <v>7191</v>
      </c>
      <c r="E29" s="365">
        <v>4319</v>
      </c>
      <c r="F29" s="365">
        <v>47827</v>
      </c>
      <c r="G29" s="564">
        <v>59337</v>
      </c>
      <c r="H29" s="242"/>
      <c r="I29" s="242"/>
    </row>
    <row r="30" spans="1:9" ht="12" customHeight="1">
      <c r="A30" s="106">
        <v>2025</v>
      </c>
      <c r="B30" s="150" t="s">
        <v>57</v>
      </c>
      <c r="C30" s="159"/>
      <c r="D30" s="108">
        <v>6227</v>
      </c>
      <c r="E30" s="108">
        <v>6183.9999999999991</v>
      </c>
      <c r="F30" s="108">
        <v>53415</v>
      </c>
      <c r="G30" s="208">
        <f t="shared" ref="G30:G33" si="1">IF(F30="","",SUM(D30:F30))</f>
        <v>65826</v>
      </c>
      <c r="H30" s="242"/>
      <c r="I30" s="148"/>
    </row>
    <row r="31" spans="1:9" ht="12" customHeight="1">
      <c r="A31" s="116"/>
      <c r="B31" s="134" t="s">
        <v>58</v>
      </c>
      <c r="C31" s="160"/>
      <c r="D31" s="112">
        <v>7122</v>
      </c>
      <c r="E31" s="112">
        <v>6105</v>
      </c>
      <c r="F31" s="112">
        <v>64897.999999999993</v>
      </c>
      <c r="G31" s="235">
        <f t="shared" si="1"/>
        <v>78125</v>
      </c>
      <c r="H31" s="168"/>
    </row>
    <row r="32" spans="1:9" ht="12" customHeight="1">
      <c r="A32" s="116"/>
      <c r="B32" s="134" t="s">
        <v>59</v>
      </c>
      <c r="C32" s="160"/>
      <c r="D32" s="112">
        <v>9622</v>
      </c>
      <c r="E32" s="112">
        <v>6515.0000000000009</v>
      </c>
      <c r="F32" s="112">
        <v>51053</v>
      </c>
      <c r="G32" s="235">
        <f t="shared" si="1"/>
        <v>67190</v>
      </c>
      <c r="H32" s="169"/>
    </row>
    <row r="33" spans="1:12" ht="12" customHeight="1" thickBot="1">
      <c r="A33" s="144"/>
      <c r="B33" s="151" t="s">
        <v>60</v>
      </c>
      <c r="C33" s="178"/>
      <c r="D33" s="200">
        <v>8571</v>
      </c>
      <c r="E33" s="200">
        <v>5631</v>
      </c>
      <c r="F33" s="200">
        <v>50737</v>
      </c>
      <c r="G33" s="211">
        <f t="shared" si="1"/>
        <v>64939</v>
      </c>
      <c r="H33" s="169"/>
    </row>
    <row r="34" spans="1:12" ht="12" customHeight="1">
      <c r="A34" s="106">
        <v>2026</v>
      </c>
      <c r="B34" s="150" t="s">
        <v>57</v>
      </c>
      <c r="C34" s="159"/>
      <c r="D34" s="108"/>
      <c r="E34" s="108"/>
      <c r="F34" s="108"/>
      <c r="G34" s="208"/>
    </row>
    <row r="35" spans="1:12" ht="12" customHeight="1">
      <c r="A35" s="116"/>
      <c r="B35" s="134" t="s">
        <v>58</v>
      </c>
      <c r="C35" s="160"/>
      <c r="D35" s="112"/>
      <c r="E35" s="112"/>
      <c r="F35" s="112"/>
      <c r="G35" s="235"/>
    </row>
    <row r="36" spans="1:12" ht="12" customHeight="1">
      <c r="A36" s="116"/>
      <c r="B36" s="134" t="s">
        <v>59</v>
      </c>
      <c r="C36" s="160"/>
      <c r="D36" s="112"/>
      <c r="E36" s="112"/>
      <c r="F36" s="112"/>
      <c r="G36" s="235"/>
    </row>
    <row r="37" spans="1:12" ht="12" customHeight="1" thickBot="1">
      <c r="A37" s="243"/>
      <c r="B37" s="244" t="s">
        <v>60</v>
      </c>
      <c r="C37" s="245"/>
      <c r="D37" s="200"/>
      <c r="E37" s="200"/>
      <c r="F37" s="200"/>
      <c r="G37" s="211"/>
    </row>
    <row r="38" spans="1:12" s="10" customFormat="1" ht="12" customHeight="1">
      <c r="A38" s="363" t="str">
        <f>+Titles!A12</f>
        <v>1 Data for 2023, 2024 and 2025 based on 2021 Census Definitions.</v>
      </c>
      <c r="B38" s="227"/>
      <c r="C38" s="227"/>
      <c r="D38" s="227"/>
      <c r="E38" s="364"/>
      <c r="G38" s="227"/>
      <c r="H38" s="362"/>
      <c r="I38" s="227"/>
      <c r="J38" s="227"/>
      <c r="K38" s="299"/>
      <c r="L38" s="11"/>
    </row>
    <row r="39" spans="1:12" s="305" customFormat="1" ht="10.9" customHeight="1">
      <c r="A39" s="318" t="str">
        <f>+Titles!A10</f>
        <v>Source: CMHC Starts and Completion Survey, Market Absorption Survey</v>
      </c>
      <c r="B39" s="306"/>
      <c r="C39" s="306"/>
      <c r="D39" s="306"/>
      <c r="E39" s="319"/>
      <c r="F39" s="306"/>
      <c r="G39" s="306"/>
      <c r="H39" s="306"/>
    </row>
    <row r="40" spans="1:12" ht="12" customHeight="1">
      <c r="A40" s="91"/>
      <c r="B40" s="169"/>
      <c r="C40" s="169"/>
      <c r="D40" s="169"/>
      <c r="E40" s="167"/>
      <c r="G40" s="169"/>
      <c r="H40" s="90"/>
      <c r="I40" s="90"/>
    </row>
    <row r="41" spans="1:12" ht="9.75" customHeight="1">
      <c r="H41" s="169"/>
      <c r="I41" s="169"/>
    </row>
  </sheetData>
  <phoneticPr fontId="11" type="noConversion"/>
  <pageMargins left="0.78740157480314965" right="0.51181102362204722" top="0.51181102362204722" bottom="0.51181102362204722" header="0.51181102362204722" footer="0.51181102362204722"/>
  <pageSetup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A17"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7"/>
  <sheetViews>
    <sheetView workbookViewId="0"/>
  </sheetViews>
  <sheetFormatPr defaultColWidth="8.765625" defaultRowHeight="15.5"/>
  <cols>
    <col min="1" max="16384" width="8.765625" style="506"/>
  </cols>
  <sheetData>
    <row r="1" spans="1:1" ht="17">
      <c r="A1" s="520" t="s">
        <v>163</v>
      </c>
    </row>
    <row r="3" spans="1:1">
      <c r="A3" s="506" t="s">
        <v>164</v>
      </c>
    </row>
    <row r="4" spans="1:1">
      <c r="A4" s="521" t="s">
        <v>165</v>
      </c>
    </row>
    <row r="5" spans="1:1">
      <c r="A5" s="521" t="s">
        <v>166</v>
      </c>
    </row>
    <row r="6" spans="1:1">
      <c r="A6" s="521" t="s">
        <v>167</v>
      </c>
    </row>
    <row r="7" spans="1:1">
      <c r="A7" s="506" t="s">
        <v>162</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20"/>
  <sheetViews>
    <sheetView workbookViewId="0"/>
  </sheetViews>
  <sheetFormatPr defaultColWidth="8.765625" defaultRowHeight="15.5"/>
  <cols>
    <col min="1" max="1" width="123" style="523" customWidth="1"/>
    <col min="2" max="16384" width="8.765625" style="688"/>
  </cols>
  <sheetData>
    <row r="1" spans="1:1">
      <c r="A1" s="691" t="s">
        <v>168</v>
      </c>
    </row>
    <row r="2" spans="1:1" ht="70.5">
      <c r="A2" s="526" t="s">
        <v>209</v>
      </c>
    </row>
    <row r="3" spans="1:1">
      <c r="A3" s="526"/>
    </row>
    <row r="4" spans="1:1" ht="42.5">
      <c r="A4" s="526" t="s">
        <v>210</v>
      </c>
    </row>
    <row r="5" spans="1:1">
      <c r="A5" s="526"/>
    </row>
    <row r="6" spans="1:1">
      <c r="A6" s="523" t="s">
        <v>211</v>
      </c>
    </row>
    <row r="8" spans="1:1">
      <c r="A8" s="689" t="s">
        <v>175</v>
      </c>
    </row>
    <row r="10" spans="1:1">
      <c r="A10" s="522" t="s">
        <v>212</v>
      </c>
    </row>
    <row r="11" spans="1:1" ht="48" customHeight="1">
      <c r="A11" s="690" t="s">
        <v>213</v>
      </c>
    </row>
    <row r="12" spans="1:1">
      <c r="A12" s="522" t="s">
        <v>214</v>
      </c>
    </row>
    <row r="13" spans="1:1" ht="58.5" customHeight="1">
      <c r="A13" s="524" t="s">
        <v>215</v>
      </c>
    </row>
    <row r="14" spans="1:1">
      <c r="A14" s="522" t="s">
        <v>216</v>
      </c>
    </row>
    <row r="15" spans="1:1">
      <c r="A15" s="525" t="s">
        <v>217</v>
      </c>
    </row>
    <row r="16" spans="1:1" ht="45.75" customHeight="1">
      <c r="A16" s="524" t="s">
        <v>218</v>
      </c>
    </row>
    <row r="17" spans="1:1">
      <c r="A17" s="522" t="s">
        <v>219</v>
      </c>
    </row>
    <row r="18" spans="1:1" ht="28">
      <c r="A18" s="524" t="s">
        <v>220</v>
      </c>
    </row>
    <row r="19" spans="1:1">
      <c r="A19" s="524"/>
    </row>
    <row r="20" spans="1:1">
      <c r="A20" s="525" t="s">
        <v>221</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43"/>
  <sheetViews>
    <sheetView workbookViewId="0"/>
  </sheetViews>
  <sheetFormatPr defaultColWidth="8.765625" defaultRowHeight="14"/>
  <cols>
    <col min="1" max="1" width="198.765625" style="526" bestFit="1" customWidth="1"/>
    <col min="2" max="16384" width="8.765625" style="523"/>
  </cols>
  <sheetData>
    <row r="1" spans="1:1" ht="23.25" customHeight="1">
      <c r="A1" s="692" t="s">
        <v>169</v>
      </c>
    </row>
    <row r="2" spans="1:1" ht="40.5" customHeight="1">
      <c r="A2" s="524" t="s">
        <v>229</v>
      </c>
    </row>
    <row r="3" spans="1:1" ht="40.5" customHeight="1">
      <c r="A3" s="524" t="s">
        <v>230</v>
      </c>
    </row>
    <row r="4" spans="1:1">
      <c r="A4" s="524" t="s">
        <v>170</v>
      </c>
    </row>
    <row r="5" spans="1:1">
      <c r="A5" s="524"/>
    </row>
    <row r="6" spans="1:1" ht="28.5">
      <c r="A6" s="524" t="s">
        <v>231</v>
      </c>
    </row>
    <row r="7" spans="1:1">
      <c r="A7" s="524"/>
    </row>
    <row r="8" spans="1:1" ht="14.5">
      <c r="A8" s="524" t="s">
        <v>232</v>
      </c>
    </row>
    <row r="9" spans="1:1">
      <c r="A9" s="524"/>
    </row>
    <row r="10" spans="1:1" ht="14.5">
      <c r="A10" s="524" t="s">
        <v>233</v>
      </c>
    </row>
    <row r="11" spans="1:1" ht="60.75" customHeight="1">
      <c r="A11" s="524" t="s">
        <v>234</v>
      </c>
    </row>
    <row r="12" spans="1:1" ht="14.5">
      <c r="A12" s="524" t="s">
        <v>235</v>
      </c>
    </row>
    <row r="13" spans="1:1">
      <c r="A13" s="524"/>
    </row>
    <row r="14" spans="1:1" ht="14.5">
      <c r="A14" s="524" t="s">
        <v>236</v>
      </c>
    </row>
    <row r="15" spans="1:1">
      <c r="A15" s="524"/>
    </row>
    <row r="16" spans="1:1" ht="14.5">
      <c r="A16" s="524" t="s">
        <v>237</v>
      </c>
    </row>
    <row r="17" spans="1:1">
      <c r="A17" s="524"/>
    </row>
    <row r="18" spans="1:1" ht="42.75" customHeight="1">
      <c r="A18" s="524" t="s">
        <v>238</v>
      </c>
    </row>
    <row r="19" spans="1:1">
      <c r="A19" s="524"/>
    </row>
    <row r="20" spans="1:1" ht="14.5">
      <c r="A20" s="693" t="s">
        <v>223</v>
      </c>
    </row>
    <row r="21" spans="1:1" ht="28">
      <c r="A21" s="524" t="s">
        <v>224</v>
      </c>
    </row>
    <row r="22" spans="1:1" ht="14.5">
      <c r="A22" s="524" t="s">
        <v>239</v>
      </c>
    </row>
    <row r="23" spans="1:1" ht="14.5">
      <c r="A23" s="524" t="s">
        <v>240</v>
      </c>
    </row>
    <row r="24" spans="1:1" ht="14.5">
      <c r="A24" s="524" t="s">
        <v>241</v>
      </c>
    </row>
    <row r="25" spans="1:1" ht="14.5">
      <c r="A25" s="524" t="s">
        <v>242</v>
      </c>
    </row>
    <row r="26" spans="1:1" ht="28.5">
      <c r="A26" s="524" t="s">
        <v>243</v>
      </c>
    </row>
    <row r="27" spans="1:1" ht="28.5">
      <c r="A27" s="524" t="s">
        <v>244</v>
      </c>
    </row>
    <row r="28" spans="1:1">
      <c r="A28" s="524"/>
    </row>
    <row r="29" spans="1:1">
      <c r="A29" s="524" t="s">
        <v>225</v>
      </c>
    </row>
    <row r="30" spans="1:1">
      <c r="A30" s="524"/>
    </row>
    <row r="31" spans="1:1">
      <c r="A31" s="524" t="s">
        <v>226</v>
      </c>
    </row>
    <row r="32" spans="1:1">
      <c r="A32" s="524"/>
    </row>
    <row r="33" spans="1:1" ht="56">
      <c r="A33" s="524" t="s">
        <v>227</v>
      </c>
    </row>
    <row r="35" spans="1:1" ht="14.5">
      <c r="A35" s="693" t="s">
        <v>171</v>
      </c>
    </row>
    <row r="36" spans="1:1" ht="28">
      <c r="A36" s="526" t="s">
        <v>172</v>
      </c>
    </row>
    <row r="38" spans="1:1" ht="17">
      <c r="A38" s="687" t="s">
        <v>228</v>
      </c>
    </row>
    <row r="39" spans="1:1">
      <c r="A39" s="523" t="s">
        <v>173</v>
      </c>
    </row>
    <row r="40" spans="1:1" ht="14.5">
      <c r="A40" s="523" t="s">
        <v>245</v>
      </c>
    </row>
    <row r="41" spans="1:1" ht="14.5">
      <c r="A41" s="523" t="s">
        <v>246</v>
      </c>
    </row>
    <row r="42" spans="1:1" ht="14.5">
      <c r="A42" s="523" t="s">
        <v>247</v>
      </c>
    </row>
    <row r="43" spans="1:1" ht="14.5">
      <c r="A43" s="523" t="s">
        <v>248</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6"/>
  <sheetViews>
    <sheetView workbookViewId="0"/>
  </sheetViews>
  <sheetFormatPr defaultColWidth="8.765625" defaultRowHeight="15.5"/>
  <cols>
    <col min="1" max="16384" width="8.765625" style="506"/>
  </cols>
  <sheetData>
    <row r="1" spans="1:1" ht="17">
      <c r="A1" s="520"/>
    </row>
    <row r="2" spans="1:1" s="523" customFormat="1" ht="14"/>
    <row r="3" spans="1:1" s="523" customFormat="1" ht="14"/>
    <row r="4" spans="1:1" s="523" customFormat="1" ht="14"/>
    <row r="5" spans="1:1" s="523" customFormat="1" ht="14"/>
    <row r="6" spans="1:1" s="523" customFormat="1" ht="14"/>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C4CD18659841A4DBB86E5C629FA2B22" ma:contentTypeVersion="12" ma:contentTypeDescription="Create a new document." ma:contentTypeScope="" ma:versionID="f56f7adad1e0b8fe7ef02c7c040abaa5">
  <xsd:schema xmlns:xsd="http://www.w3.org/2001/XMLSchema" xmlns:xs="http://www.w3.org/2001/XMLSchema" xmlns:p="http://schemas.microsoft.com/office/2006/metadata/properties" xmlns:ns1="http://schemas.microsoft.com/sharepoint/v3" xmlns:ns2="a4da3979-8acb-4a8e-bb9b-c1f5f1497131" xmlns:ns3="96ad5937-3f85-4497-bca1-dffeb12c2695" targetNamespace="http://schemas.microsoft.com/office/2006/metadata/properties" ma:root="true" ma:fieldsID="c021998aa199f14de5fcf1db0a774826" ns1:_="" ns2:_="" ns3:_="">
    <xsd:import namespace="http://schemas.microsoft.com/sharepoint/v3"/>
    <xsd:import namespace="a4da3979-8acb-4a8e-bb9b-c1f5f1497131"/>
    <xsd:import namespace="96ad5937-3f85-4497-bca1-dffeb12c269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4da3979-8acb-4a8e-bb9b-c1f5f14971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07fd80b5-5c51-4f3a-abc1-25962529aad1"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ad5937-3f85-4497-bca1-dffeb12c2695"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b9bf9436-221d-4a4f-b835-fa4f5177b278}" ma:internalName="TaxCatchAll" ma:showField="CatchAllData" ma:web="96ad5937-3f85-4497-bca1-dffeb12c269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96ad5937-3f85-4497-bca1-dffeb12c2695" xsi:nil="true"/>
    <lcf76f155ced4ddcb4097134ff3c332f xmlns="a4da3979-8acb-4a8e-bb9b-c1f5f149713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9E95086-B9D1-4168-85C8-5B81771B1C1F}"/>
</file>

<file path=customXml/itemProps2.xml><?xml version="1.0" encoding="utf-8"?>
<ds:datastoreItem xmlns:ds="http://schemas.openxmlformats.org/officeDocument/2006/customXml" ds:itemID="{AF7CEA18-E6D0-49AB-8520-446C47C36857}"/>
</file>

<file path=customXml/itemProps3.xml><?xml version="1.0" encoding="utf-8"?>
<ds:datastoreItem xmlns:ds="http://schemas.openxmlformats.org/officeDocument/2006/customXml" ds:itemID="{3AB412BC-BB33-4CBF-9631-737D6BB92880}"/>
</file>

<file path=docMetadata/LabelInfo.xml><?xml version="1.0" encoding="utf-8"?>
<clbl:labelList xmlns:clbl="http://schemas.microsoft.com/office/2020/mipLabelMetadata">
  <clbl:label id="{6cc8ad0b-a31c-418f-b944-b1763ed17eb2}" enabled="1" method="Privileged" siteId="{38b7fc89-dbe8-4ed1-a78b-39dfb6a217a8}"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19</vt:i4>
      </vt:variant>
    </vt:vector>
  </HeadingPairs>
  <TitlesOfParts>
    <vt:vector size="44" baseType="lpstr">
      <vt:lpstr>Titles</vt:lpstr>
      <vt:lpstr>Index</vt:lpstr>
      <vt:lpstr>Notes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Tables 17-18</vt:lpstr>
      <vt:lpstr>Tables 19-20</vt:lpstr>
      <vt:lpstr>Symbols</vt:lpstr>
      <vt:lpstr>Coverage and Geography</vt:lpstr>
      <vt:lpstr>Concepts and Definitions</vt:lpstr>
      <vt:lpstr> </vt:lpstr>
      <vt:lpstr>'Table 1'!Print_Area</vt:lpstr>
      <vt:lpstr>'Table 10'!Print_Area</vt:lpstr>
      <vt:lpstr>'Table 11'!Print_Area</vt:lpstr>
      <vt:lpstr>'Table 12'!Print_Area</vt:lpstr>
      <vt:lpstr>'Table 13'!Print_Area</vt:lpstr>
      <vt:lpstr>'Table 14'!Print_Area</vt:lpstr>
      <vt:lpstr>'Table 15'!Print_Area</vt:lpstr>
      <vt:lpstr>'Table 16'!Print_Area</vt:lpstr>
      <vt:lpstr>'Table 2'!Print_Area</vt:lpstr>
      <vt:lpstr>'Table 3'!Print_Area</vt:lpstr>
      <vt:lpstr>'Table 4'!Print_Area</vt:lpstr>
      <vt:lpstr>'Table 5'!Print_Area</vt:lpstr>
      <vt:lpstr>'Table 6'!Print_Area</vt:lpstr>
      <vt:lpstr>'Table 7'!Print_Area</vt:lpstr>
      <vt:lpstr>'Table 8'!Print_Area</vt:lpstr>
      <vt:lpstr>'Table 9'!Print_Area</vt:lpstr>
      <vt:lpstr>'Tables 17-18'!Print_Area</vt:lpstr>
      <vt:lpstr>'Tables 19-20'!Print_Area</vt:lpstr>
      <vt:lpst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Natasha Nakhleh</cp:lastModifiedBy>
  <cp:lastPrinted>2019-12-02T19:21:02Z</cp:lastPrinted>
  <dcterms:created xsi:type="dcterms:W3CDTF">2010-02-01T20:46:31Z</dcterms:created>
  <dcterms:modified xsi:type="dcterms:W3CDTF">2026-03-09T14:55:59Z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0x0101007C4CD18659841A4DBB86E5C629FA2B22</vt:lpwstr>
  </property>
</Properties>
</file>